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07" codeName="{00000000-0000-0000-0000-000000000000}"/>
  <workbookPr filterPrivacy="1" codeName="EstaPastaDeTrabalho" hidePivotFieldList="1" defaultThemeVersion="124226"/>
  <xr:revisionPtr revIDLastSave="0" documentId="13_ncr:1_{1A29AD8C-1D41-44DB-B4E9-2C91E633ED15}" xr6:coauthVersionLast="47" xr6:coauthVersionMax="47" xr10:uidLastSave="{00000000-0000-0000-0000-000000000000}"/>
  <bookViews>
    <workbookView xWindow="684" yWindow="864" windowWidth="22356" windowHeight="11220" xr2:uid="{00000000-000D-0000-FFFF-FFFF00000000}"/>
  </bookViews>
  <sheets>
    <sheet name="Planilha1" sheetId="5" r:id="rId1"/>
    <sheet name="Exercício 1" sheetId="2" r:id="rId2"/>
    <sheet name="BD" sheetId="1" r:id="rId3"/>
    <sheet name="BD2" sheetId="4" r:id="rId4"/>
  </sheets>
  <definedNames>
    <definedName name="_xlnm._FilterDatabase" localSheetId="2" hidden="1">BD!$A$1:$K$653</definedName>
    <definedName name="DadosExternos_1" localSheetId="3" hidden="1">'BD2'!$A$1:$J$304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4" l="1"/>
  <c r="L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B092AE-A8CE-427E-8147-91F86666FCBB}" keepAlive="1" name="Consulta - data" description="Conexão com a consulta 'data' na pasta de trabalho." type="5" refreshedVersion="6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<sst xmlns="http://schemas.openxmlformats.org/spreadsheetml/2006/main" count="2672" uniqueCount="99">
  <si>
    <t xml:space="preserve">Exercícios - Treinamento inicial - BD </t>
  </si>
  <si>
    <t xml:space="preserve">Exercício 1 - Veja o Banco de dados na planilha chamada BD. Imagine o dia-a-dia de um projeto e as </t>
  </si>
  <si>
    <t>análises que precisam ser feitas. Quantos pedidos foram feitos no mês de Junho? Use a base "BD".</t>
  </si>
  <si>
    <t>(Fazer também no access)</t>
  </si>
  <si>
    <t>Exercício 2 - Considere o Banco BD. Primeiramente vamos calcular o indicador "Percentual de pedidos totalmente atendidos".</t>
  </si>
  <si>
    <t xml:space="preserve">Exercício 3 - </t>
  </si>
  <si>
    <t>Calcule qual o percentual atendido do item3 (Parcialmente e completamente)</t>
  </si>
  <si>
    <t>Exercício 4 - Calcule o Fill rate do item 19</t>
  </si>
  <si>
    <t>Exercício 5 - Verificar o percentual de pedidos totalmente atendidos por mês e plotá-los em um gráfico (Primeiramente no access)</t>
  </si>
  <si>
    <t>Exercícios - Aprofundando a análise - BD2</t>
  </si>
  <si>
    <t xml:space="preserve">Exercício 1 - Calcule a demanda média e o desvio padrão. </t>
  </si>
  <si>
    <t>Exercício 2 - Calcule a correlação (Pearson) da demanda com a média de atraso. Monte também a regressão linear simples com a ANOVA</t>
  </si>
  <si>
    <t>Exercício 3 - Crie uma coluna que mostre linha a linha o percentual de reclamações resolvidas</t>
  </si>
  <si>
    <t>Exercício 4 - No próprio Excel crie uma regressão cuja saída (y) seja a quantidade de reclamações e as variáveis explicativas sejam demanda e atraso.</t>
  </si>
  <si>
    <t>Dia</t>
  </si>
  <si>
    <t>Mês</t>
  </si>
  <si>
    <t>Ano</t>
  </si>
  <si>
    <t>Descrição Item RA</t>
  </si>
  <si>
    <t>Qtd Solic</t>
  </si>
  <si>
    <t>Qtd Ate</t>
  </si>
  <si>
    <t>Rede/Produção RA</t>
  </si>
  <si>
    <t>Status Ordem</t>
  </si>
  <si>
    <t>Data Baixa</t>
  </si>
  <si>
    <t>Linha RA</t>
  </si>
  <si>
    <t>RA Comp</t>
  </si>
  <si>
    <t>Jan</t>
  </si>
  <si>
    <t>item18</t>
  </si>
  <si>
    <t>Rede</t>
  </si>
  <si>
    <t>Atendida Completamente</t>
  </si>
  <si>
    <t>item19</t>
  </si>
  <si>
    <t>Producao</t>
  </si>
  <si>
    <t>Mar</t>
  </si>
  <si>
    <t>Abr</t>
  </si>
  <si>
    <t>Atendida Parcialmente</t>
  </si>
  <si>
    <t>Mai</t>
  </si>
  <si>
    <t>Jun</t>
  </si>
  <si>
    <t>Jul</t>
  </si>
  <si>
    <t>Ago</t>
  </si>
  <si>
    <t>Set</t>
  </si>
  <si>
    <t>item17</t>
  </si>
  <si>
    <t>item20</t>
  </si>
  <si>
    <t>Fev</t>
  </si>
  <si>
    <t>item3</t>
  </si>
  <si>
    <t>Out</t>
  </si>
  <si>
    <t>Nov</t>
  </si>
  <si>
    <t>Dez</t>
  </si>
  <si>
    <t>item4</t>
  </si>
  <si>
    <t>item5</t>
  </si>
  <si>
    <t>item6</t>
  </si>
  <si>
    <t>item7</t>
  </si>
  <si>
    <t>item8</t>
  </si>
  <si>
    <t>item9</t>
  </si>
  <si>
    <t>item1</t>
  </si>
  <si>
    <t>item2</t>
  </si>
  <si>
    <t>item12</t>
  </si>
  <si>
    <t>item16</t>
  </si>
  <si>
    <t>item13</t>
  </si>
  <si>
    <t>item11</t>
  </si>
  <si>
    <t>item15</t>
  </si>
  <si>
    <t>item14</t>
  </si>
  <si>
    <t>item10</t>
  </si>
  <si>
    <t>Column1</t>
  </si>
  <si>
    <t>Demanda</t>
  </si>
  <si>
    <t>ISO 9000</t>
  </si>
  <si>
    <t>SKU</t>
  </si>
  <si>
    <t>Média de atraso (h)</t>
  </si>
  <si>
    <t>Reclamações</t>
  </si>
  <si>
    <t>Aplica Lean</t>
  </si>
  <si>
    <t>Reclamações resolvidas</t>
  </si>
  <si>
    <t>Pedido incompleto</t>
  </si>
  <si>
    <t>Nível de falha fornecedor</t>
  </si>
  <si>
    <t>Y</t>
  </si>
  <si>
    <t>X</t>
  </si>
  <si>
    <t>0 - Fornecedor qualificado</t>
  </si>
  <si>
    <t>RESUMO DOS RESULTADOS</t>
  </si>
  <si>
    <t>Estatística de regressão</t>
  </si>
  <si>
    <t>R múltiplo</t>
  </si>
  <si>
    <t>R-Quadrado</t>
  </si>
  <si>
    <t>R-quadrado ajustado</t>
  </si>
  <si>
    <t>Erro padrão</t>
  </si>
  <si>
    <t>Observações</t>
  </si>
  <si>
    <t>ANOVA</t>
  </si>
  <si>
    <t>gl</t>
  </si>
  <si>
    <t>SQ</t>
  </si>
  <si>
    <t>MQ</t>
  </si>
  <si>
    <t>F</t>
  </si>
  <si>
    <t>F de significação</t>
  </si>
  <si>
    <t>Regressão</t>
  </si>
  <si>
    <t>Resíduo</t>
  </si>
  <si>
    <t>Total</t>
  </si>
  <si>
    <t>Coeficientes</t>
  </si>
  <si>
    <t>Stat t</t>
  </si>
  <si>
    <t>valor-P</t>
  </si>
  <si>
    <t>95% inferiores</t>
  </si>
  <si>
    <t>95% superiores</t>
  </si>
  <si>
    <t>Inferior 95.0%</t>
  </si>
  <si>
    <t>Superior 95.0%</t>
  </si>
  <si>
    <t>Interseção</t>
  </si>
  <si>
    <t>Variável X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</si>
</sst>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dd/mm/yy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</font>
    <font>
      <b/>
      <sz val="8"/>
      <color theme="0"/>
      <name val="Calibri"/>
      <family val="2"/>
    </font>
    <font>
      <b/>
      <i/>
      <sz val="16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6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1"/>
      <color theme="0"/>
      <name val="Cambria"/>
      <family val="1"/>
      <scheme val="major"/>
    </font>
    <font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0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24">
    <xf numFmtId="0" fontId="0" fillId="0" borderId="0" xfId="0"/>
    <xf numFmtId="0" fontId="3" fillId="0" borderId="2" xfId="2" applyFont="1" applyBorder="1" applyAlignment="1">
      <alignment horizontal="left" vertical="center" wrapText="1"/>
    </xf>
    <xf numFmtId="164" fontId="3" fillId="0" borderId="2" xfId="2" applyNumberFormat="1" applyFont="1" applyBorder="1" applyAlignment="1">
      <alignment horizontal="left" vertical="center" wrapText="1"/>
    </xf>
    <xf numFmtId="165" fontId="3" fillId="0" borderId="2" xfId="2" applyNumberFormat="1" applyFont="1" applyBorder="1" applyAlignment="1">
      <alignment horizontal="left" vertical="center" wrapText="1"/>
    </xf>
    <xf numFmtId="0" fontId="4" fillId="2" borderId="1" xfId="2" applyFont="1" applyFill="1" applyBorder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/>
    <xf numFmtId="0" fontId="6" fillId="0" borderId="0" xfId="0" applyFont="1"/>
    <xf numFmtId="0" fontId="6" fillId="3" borderId="0" xfId="0" applyFont="1" applyFill="1"/>
    <xf numFmtId="0" fontId="8" fillId="0" borderId="0" xfId="0" applyFont="1"/>
    <xf numFmtId="10" fontId="8" fillId="0" borderId="0" xfId="1" applyNumberFormat="1" applyFont="1" applyAlignment="1">
      <alignment horizontal="left"/>
    </xf>
    <xf numFmtId="0" fontId="9" fillId="5" borderId="5" xfId="0" applyFont="1" applyFill="1" applyBorder="1" applyAlignment="1">
      <alignment horizontal="center"/>
    </xf>
    <xf numFmtId="0" fontId="9" fillId="5" borderId="7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9" xfId="0" applyBorder="1"/>
    <xf numFmtId="0" fontId="10" fillId="0" borderId="10" xfId="0" applyFont="1" applyBorder="1" applyAlignment="1">
      <alignment horizontal="center"/>
    </xf>
    <xf numFmtId="0" fontId="10" fillId="0" borderId="10" xfId="0" applyFont="1" applyBorder="1" applyAlignment="1">
      <alignment horizontal="centerContinuous"/>
    </xf>
    <xf numFmtId="0" fontId="11" fillId="6" borderId="10" xfId="0" applyFont="1" applyFill="1" applyBorder="1" applyAlignment="1">
      <alignment horizontal="center"/>
    </xf>
    <xf numFmtId="0" fontId="12" fillId="6" borderId="0" xfId="0" applyFont="1" applyFill="1"/>
    <xf numFmtId="0" fontId="12" fillId="6" borderId="9" xfId="0" applyFont="1" applyFill="1" applyBorder="1"/>
    <xf numFmtId="0" fontId="7" fillId="0" borderId="3" xfId="0" applyFont="1" applyBorder="1" applyAlignment="1">
      <alignment horizontal="left"/>
    </xf>
  </cellXfs>
  <cellStyles count="3">
    <cellStyle name="Normal" xfId="0" builtinId="0"/>
    <cellStyle name="Normal_BD" xfId="2" xr:uid="{00000000-0005-0000-0000-000001000000}"/>
    <cellStyle name="Porcentagem" xfId="1" builtinId="5"/>
  </cellStyles>
  <dxfs count="15"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 style="dotted">
          <color indexed="64"/>
        </top>
        <bottom style="dotted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mbria"/>
        <family val="1"/>
        <scheme val="maj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304800</xdr:colOff>
      <xdr:row>3</xdr:row>
      <xdr:rowOff>47625</xdr:rowOff>
    </xdr:to>
    <xdr:sp macro="" textlink="">
      <xdr:nvSpPr>
        <xdr:cNvPr id="1026" name="AutoShape 2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27" name="AutoShape 3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28" name="AutoShape 4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29" name="AutoShape 5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30" name="AutoShape 6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31" name="AutoShape 7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32" name="AutoShape 8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33" name="AutoShape 9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120650</xdr:rowOff>
    </xdr:to>
    <xdr:sp macro="" textlink="">
      <xdr:nvSpPr>
        <xdr:cNvPr id="1034" name="AutoShape 10" descr="data:image/jpeg;base64,/9j/4AAQSkZJRgABAQAAAQABAAD/2wCEAAkGBxQQERUUEhQUFBQVGBgUGBQVFBYXGhYUGBoWFhUXGBcYHiggGBolHBcYITIhJSkuLi4uFyAzODMsNygtLisBCgoKDg0OGxAQGywkHyYsLCwsLCwsLSwsLCwsLCwsLCwsLCwsLCwsLCwsLCwsLCwsLCwsLCwsLCwsLCwsLCwsLP/AABEIAHQBsgMBEQACEQEDEQH/xAAcAAEAAgMBAQEAAAAAAAAAAAAABgcEBQgBAwL/xABKEAABAwIBBQgNCgUFAQEAAAABAAIDBBEFBgcSITETF0FRU2FxgQgiMjVUc5GSk7Gy0dIUFRY0QlKCoaKzI2JydMEzZIPC4UMk/8QAGgEBAAIDAQAAAAAAAAAAAAAAAAIDAQQFBv/EAC4RAQACAQMCBQQCAgMBAQAAAAABAgMEERIxUQUVITNxE0FSYRQyYoEikfCxI//aAAwDAQACEQMRAD8AvFAQY9dWxwRukle2NjRcveQ0Ac5KzWs2naBVuU2e2CIllHGZ3DVuj+0j6h3TvyXQw+HXt639EJu1mbjK7EMXxJoll0YImmV8cTQxp+y1p2uIueE8Cnq9PiwY/TrJEzLV52cuqpmJSRUs8kUcIbGQw2DpLaTz1E6P4VbotJS2OLXjfdi1vVDfp7iPhk/nrb/h4fxR5S8OXWI+GT+eVn+Jh/GDlLz6c4j4ZP55T+Jh/GDlLz6cYh4ZUekKfxMP4wcpefTbEPDKj0rk/iYfxg3lkUGcHEYXh7auVxH2Xu02nmLXLFtFhtG2xFpXPm5zox4i4QTtENSRqt3Ethr0L62u1X0T1ErkarRWxf8AKPWFkW3WQtJIQEBAQEBAQEBAQEBAQEBAQEBAQEBAQEBAQEBAQEBAQEBAQEBAQEBAQEBBFsustoMKi0pO3ld/pwtI0nHjP3WjhPrV+DT3zW2hiZ2c35WZW1OJSaVQ8loN2RN1MZ0N4+c6138Gmphj0691Uzu0SvYXtmZpW0GFVNfJq09N9+Hc4Q4AdbtJcTXWnJmikLK+kKQrqt00r5X63SOc93S4kn1rs0rxrEQrfBTBAQEBAQfuCZ0bmvYS1zSHBw2hw1gjoKjasWjaR1xkXjBraGnqDbSkYC633xqf+YK8vmpwvNey6J3hu1WyICAgICAgICAgICAgICAgICAgICAgICAgICAgICAgICAgICAgICAgII/lrlRFhlK6eTWe5jjvYvkOwDm4SeABW4cNstorDEzs5YxzF5ayd8879OR5uTwAcDWjgaNll6TFirjrxqqmd2ArWH1pKd0r2xsF3Pc1jRxucQ0DylRtbjWbSL2zt1DcNwaChi1GTRi1cnGNKQ893WH4iuJoq/VzzeflZb0hQi7qsQEBAQEBAQdP5mYi3B6e/DujuovcQvN62d88ra9E3WqkICAgICAgICAgICAgICAgICAgICAgICAgICAgICAgICAgICAgICAgIKcznZF4nitXpMEQp4xoxNdKBfhc8i20n8gF0tJqMOGvrvuhaJlD95nE/uwel/8AFueY4f2jwk3mcT+7B6X/AMTzHD+zhKR5vs1NVS18U9WItziu8aL9ImQDtNVuPX1LX1WupfHNabsxWYlHM+ON/KMTdED2lM0Rji0yA+Q+UgfhWx4dj44uXdi8+qvF0ERBIshslH4rU7gx4js0vc8tLg0C1tQI2krW1GojDXlLMRusHeFl8Nj9A741o+af4pcDeFl8Nj9A74080/xOBvCy+Gx+gd8aeaf4nA3hZfDY/QO+NPNP8TgbwsvhsfoXfGnmn+JwXFk9hQo6WGnabiKNrL8ZA1nrNz1rl5Lc7TbunDYqDIgICAgICAgICAgICAgICAgICAgICAgICAgICAgICAgICAgICAgICAg8sg9QEGHjFe2mglmfqbEx0h6GglZrXlaIHHmIVbp5Xyv7qRznu6XEk+teqx14ViqiXwUwQX12PeC7nTTVThrmcGM8XHe/lcT5oXD8SycrxTsspC3FzUxAQEBAQEBBCsps59BQuLHSGaUbY4QHWPEXXDQea62sOjy5PWI9P2jNohEZM/UV9VHIRxmZoPkDT61s+V3/AChjm3eBZ5qCoIbKJKZx1XkALPPbsHOQFVk8Py09Y9WeULEgma9oc0hzSLhzSCCOMEbQtHbZJ+3GwQVec+NDyNV5sfxroeXZe8Ic4eb+VDyNT5sfxp5bl/TPODfyoeRqfNj+NPLcv6OcG/lQ8jU+bH8aeW5f0c4TfJLKSPEqcVELXtYXObZ4AN26jsJC08uKcVuNmYndq8tc4NPhMkbJ2SuMjS8GMNIABtr0nBWYNNfNEzUmYhHN/Kh5Gp82P41seW5f0xzg38qHkanzY/jTy3L+jnBv5UPI1Pmx/GnluX9HOEtyKyyhxaOR8DJGCNwYd0DQSSL6tEnUtXPgthmIszE7sLLPOLT4VMyKdkznPZugMYaRbSc3XpOGu7Sp4NLfNG9WJtsj+/lQ8jU+bH8av8ty/o5wb+VDyNT5sfxp5bl/Rzg38qHkanzY/jTy3L+jnDbZLZ06XEaltPDHO17g4gvawN7UXOxxKqzaLJirytsRaJZmWmcKnwqSOOdkrjI0vBjDSLA216RGtRwaa+aN6szOyO7+VDyNT5sfxq/y3L+mOcG/lQ8jU+bH8aeW5f0c4N/Kh5Gp82P408ty/o5wb+dDyNT5sfxp5bl7wc4WdTS6bGuGxwDhfiIutCY2nZJhZQ4s2ipZqh4u2Jhfo3tpEbGg8BJsOtSpSb2isfclpc32WBxaGSbcDA1j9zF36embAuPci1rgK3U4Po2477sRO6PVuemihlfG6Kp0o3uYSGx2JaS0kdvs1K6vh+W0RMTDHKHx38qHkanzY/jUvLcv6OcPRnyoOSqfMZ8aeW5f0xzhn0OePDZCA58kV+F8Zt1lt1XbQZo+zPKE7oqxk7BJE9sjHC7XscHAjmIWpMTE7Sk+6wCDxBWdXnroopHxuiqbsc5hs2O12ktJHb7NS3q+H5LRExMeqPKE5yZxtlfSx1MQc1kmlYPsHdq5zDexI2tK1MmOcdprP2ZhtFBkQEBBWefjGtww8QtPbVDww+Lb2zz5dEda3vD8fPLv2RvPo51XfVCyP3DEXuDWi7nENA4yTYDyqNpiI3kdE5V4ycnsIpooNEzWZE3SFwSBpSvIB16yetwXAw4/5Oad+i2Z2hXW/ViX+39EfiXQ8txd5Q5yb9WJf7f0R+JPLcXeTnJv1Yl/t/RH4k8txd5OcvpT57MQDgXNp3N4W7m4X6w7UsT4Zj+0yc5Xtkvi4raSGoDdHdWB2jt0TsIvwi4K42Sn07TXssid21UGRBTmerL58JNDSuLXkAzStOtoOyNpGwkayeI24SupoNLFv/0t/pC1lR5NZN1GIzblTM03Wu5xNmsHG5x2etdPNnphjeyERusmPMPMW3NZEHfdETiPO0v8LQ80jf8AqlwQDLDI+pwuQMnaC13cStN2P6+A8xW7g1NM0f8AHqjMbJfmVy0fTVLaOV5MEx0WaR/05T3NuIO2W4yFqa/TRav1Kx6wlWXQcncnoK4sLHFz9p6SvWR0UQsbAs0FVWU0VQyaFrZWB4DtK4B4DYLQyeIVpaa7JxWWdvF1nhEH6/coeZ07ScZN4us5eD9fuTzOnaThK183GTcmGUQp5XNe4Pe67L2s43G1czU5Yy5JtCcRtCr+yL+s0vin+0uj4X0shdBMickpMVmfFE9jHMZpkvvYi4FtXSt7UaiMMbzG+6MRumm8ZWcvB+v3LT8zp2lLjJvF1nhEH6/cnmdO0nGVj5rMjZcJimjmex5keHgsvqAbbXdc/WaiM1omE6xsrbsiO+EH9uP3JV0fDP6T8oXRDIfI6XFpJI4XsYY2h5076wTbVZbWp1MYYiZjqjEbpjvF1nLwfr9y1PM6dpS4SbxdZ4RB+v3J5nTtJxlI83+aypw6ujqJJYnsaHghulftmkDaFr6nW1y4+MQzFZiWyzpZvZ8WmhfFJGwRsLTp6VySb6rBV6TVRhiYmGbV3QreMrOXg/X7lueZ07I8JVtjeGupaiWB5DnRPLCW7CRwi66GLJzrFoQmNkuyPzY1GJ0wqIpYmNLnMs/Svdu3YFqZtdXFfjMJRXdu94us5eD9fuVM+J17M8JX1RxFkbGna1rWm3GAAuPad5mVitc/uL7jh7IAe2qJAPwR2c7qvojrW94dTll5dkbz6JLmuwr5LhdMwiznMErh/NJ2/qIHUqNVfnlmWa9HMuUn1yp8fL7bl6HB7dfiFU9UwyYzUVOIUzKiOaFrZL2a7SuLEjXYcy1MuvrjvNZiWYrMtocxlZy8H6/cq/M6dpZ4SheWGR1Thb2tqGjRffQkYdJjrbRfaDzFben1NM39UZiYSrMdlO+nrW0riTDUXAafsygXa4cV7WPSOJa3iGCLU5x1hmsuiguGteoPCg45x/61UeOl9ty9Th9uvxCmerpTM73mpOiT96VcDWe/b/32WV6JmtVIQEBBzZnyxn5RiRiBuymaIx/W4Bz/AFgfhXe8Ox8cfLuqvPqrxdBEQTXM/gvyvFIbi7If47vwdx+st8i0tfk4Yp/aVY3lss+uOfKMR3Fpu2lbof8AI+zpP+o6lX4di44+XcvPqrhdFEQEGThlE+omZDGLvkcGNHO42CryXilZtJDr/A8NbSU0UDO5iY2Mc+iLE9JOvrXl725WmZXwzlEfOeQMaXHY0Fx6ALlIjedhxxi+IOqZ5Zn91K9zzrvbSNwOoaupeqxUilIrCiZ3dIZmsDbS4ZE+38So/jPdbWb9wOgNA8p41wNblm+We0Lax6J0FqJNDlpkvHilK6nkOjchzXhukWOB2gEjgJHWrcGa2K/KGJjdGcEzOUFO5r3GaZ7SHAufogOBuCAyy2Mmvy3jboxFVhSdyegrSScXP2npPrXrI6NeHTmb3KGljwykY+oha5sLAWukaCDxEE6l5zUY7zlt6LomNkh+lFF4VT+lZ71T9K/ZneD6UUfhVP6VnvWfpX7G8NpDKHtDmkFrgCCDcEHWCDxKtlRPZF/WaXxT/aXY8L6WV3YfY/StbXTFxDf4PCQPtN41PxOJmkbFF+itj5Rnnt964u09lga6PlGee1Np7D7grA5+7IjvhB/bj9yVdvwv25+Vd34zCYjFT1VQZpGRgxNAL3BtzpbBdPEqzatdoKLu+lFH4VT+lZ71x/pX7J7wfSii8Kp/Ss96fSv2N4ZVBisNRfcZY5dG19B4da+y9tmxYtWa9YZZqiCDkrOF30rPHP8AWvS6T2a/Cm3VeGYfvS3xsvrC4/iHvT/pZTosVaSQgofOo/5xx2mom6xHoRuHEZCJJP0W8i62kj6entklXb1nZesTA0ADYAAOgalyevqsce5SfXKnx8vtuXqcHt1+IU26ukMznein/H7blwNb71lleiaLVSU/2QWLw/J4qYOa6YybpojWWMAc254rk2tzLp+G47c5t9kLz6K0zW0rpcWpQ0bH6Z5mtBJK6GttEYZ3Qr1dWLzi4QeFBxzj/wBaqPHS+25epw+3X4hTPV0pmd7zUnRJ+9KvP6z37LK9EzWskICDExWubTwyTP7mNjnnoaCVKteUxHcceYjWOnlklf3UjnPd0uNz616nHXjSKx9lEsdTBBd+ZimbQYZV4jJscHFv9EIdqH9TyR1BcXX2nJmjHH/t1lfSN1L19W6aV8r+6kc57ulxJPrXXpXjWK9lb4KYICC08weT27Vb6p47WnFmcRleCPybfyhcvxLNxrFI+6dIdBBcVY9Qa7KMkUlRbbuMnsFSp/aGJccr1al15kVb5vpLchH7IXls3uSujo3arZEBB+Ze5PQUHFrtp6SvWR0a8NvS5J1srGyR0sz2PGk1zWEhw4wVVbUYqztMwltL6/QnEPA6j0ZUf5WL8oNpPoViHgdR6MpOpxflBtLqXJiIsoqZrgWubDE0tIsQQxoII4153JO95+V0KZ7Iv6zS+Kf7S6vhfSyu6p6ane82ja9xGshgJNupdO01j+yDI+bKjkZvRv8AcofUxd4Z2l4cLqORm9G/3LFsmLbrBtLsHDR/Bj/ob7IXmbdZXKG7IjvhB/bj9yVdrwv25+Vd1cYXhE9US2nifKWi5DG3IHGVv3y0p/adkNmx+hOIeB1Hoyq/5WL8oZ2k+hOIeB1HoysfysX5QbStrMLglRSmr+UQyRaW5aOm3RvbdL2vxX/NczxHJS/HjO6yi3guakIOSs4XfSs8c/1r0uk9mvwpt1XhmH70t8bL6wuP4h70/wCllOixVpJPzLIGtLjqABJPMNZSPX0FFZpI/nDG6qtdrDC+RpI2GVxbH0WYHBdfWT9PBXGrr6zuvZchY47yk+uVPj5fbcvU4Pbr8Qpnq+UOKzxtDWTTMaNjWyPaB0AGyWx45neYg9X6ONVJ21E5/wCV/vT6OPtDG7ZZPZJ1mJEmniMgvZ0jntAB/mLjdV5dRiw+k+jO26+s2mbxmFNdJI4SVLxol4HasbqOgy+vpPDZcXVaqc07dIWVrsnd1qJPUHhQcc4/9aqPHS+25epw+3X4hTPV0pmd7zUnRJ+9KvP6z37LK9EzWskICCtc/GMmnw4QtNnVLww+Lb2z/U0fiK3vD8fPLv2RtPo5zXoFQg/cERe5rWi7nENA4yTYDyqNpiImZF450GOocHpcOgY9xeGh5Y0ntY7OeToja57h+a4mlmL5pyWlZPTZS5wufkZfRv8Acuz9XH3hXs/JwybkZfRu9yfVp3g2Pm2bkpfRu9yfVp3g2ZWG5O1VRII4oJXOcbdw4Ac5JFgOcqNtRjpG8yzs6ezfZMjDKGOA2MndykbDK62lY8IGoDmC87qMv1ck2WxGySKlkQfKqhEjHMOxzS09BFikTtI42xCidBLJE/U6NzmHpaSP8L1dLcqxKjZ0rmbxltThcIB7eC8LxxaPcHraR+a8/rcc0zT+1teicArUSRbORlP82UL5mkbqSI4gRe8h17OEAAk9Cv02H6uTj/2xM7IBkvnsdI9kVVTXe9zWB0B2ucbDtHnjI2Fbubw7jHKsoxdc0ncnoK5cJuLX7T0n1r1kdGvDrDNr3povEs9S81qfdt8r69ElVDIgIKG7Iv6zS+Kf7S7HhfSyu7F7Hr69N4n/ALNUvE/6QU6ugrLirCyAEHP3ZEd8IP7cfuSrt+F+3Pyru+/Y6/W6nxLfbUfFP61KL7XGWCAgICDkrOF30rPHP9a9LpPZr8KbdV4Zh+9LfGy+sLj+Ie9P+llOixVpJIhnWxb5LhVQ4Gznt3FvTJ2pt1ElbGkx88sQxafRosweEbjh7piO2qJC78DO0b1X0j1q/wARycsu3ZGkeizFoJuOspPrlT4+X23L1OD26/EKZ6ujcz8Ydg9PcA93tH87lwNZM/Xssr0RrPBm7ZJE6spIw2WMXljYABIzhcGj7Y284WxotXNZ4X6Sxav3hTOT+Oz0EzZqd5a8cGvRePuvbftmrrZcVcleNkN9nU2RmUseJUrZ49V+1ezhZIANJp8txzELzmbFOK/GVsTuwcusuIcJbGZo5JN10g3Q0fs2ve5HGpYNPbNO0STOzVZC5zo8VqnQMgdFaN0gc54N9FzG2sOZ1+pW6jR2w15TP3Yi26fErTSccY28OqZyNhlkI6C5xC9VijalfiFM9XTGaBhbg1ID9156jLIR+RXntZO+eyyvRMVrJCDxBzfn0xr5RiRiB7SmYI/xu7d/raPwru+HY+OPl3VXn1V0uiiIJvmdwT5XikRIuyD+O7pZbQ/WWnqWjr8vDFMd0qx6unrLz60sg9QEHlkCyD1AQEFJZ7shXOea+mbpAgbuxo1i2oSgDaLWB6L8a6ug1URH07f6QtH3VlkplTUYZNutM4axZzHXLHjbZwBHlFiujm09M0bWQidlmsz8HQ10Y07cEva38265/lc7/wBkuatsscr6jFJRJOQA24ZE24YwHba51nnK38GmphjaqMzum+Y/Ix004rpm2hivuV/ty7NIfyt16+O3EtPxDUxFfpx1+6VYX5J3J6CuNCxxc/aekr1sdGvCzMns8c1HSxU7aaJwiYGBxe4EgcJC5uTw6L2m3JOLNhv8VHgkPpHqHlcfkzzN/io8Eh9I9PK4/I5rDzY5aSYvDNJJEyLc3hgDCTcFt7m60dVp4w2iIndKs7q77Iv6zS+Kf7S3vC+lkbsbsevr03if+zVLxP8ApHyU6ugguKsEBBz72RHfCD+3H7kq7fhftz8q7onkFlm/CJZJI4mymRoZZziLAG/AtnU6aM8REztsjE7Jtv8AFR4JD6R60/K6/klzN/io8Eh9I9PK4/I5tnkznknrKuCnNNE0SyNYXB7iQDwgKrN4fGOk236MxZcq5iYg5Kzhd9Kzxz/WvS6T2a/Cm3VeGYfvS3xsvrC4/iHvT/pZTosVaSSl+yFxEvdSUjNZcXSuHG42jiH5v/JdTw6sRyvKF1q5NYaKSkggH/yjYzpIA0j1m5XOyX53mycRs2agOOspPrlT4+X23L1OD26/EKbdXSGZzvRT/j9ty4Gt9+yyvRNC261UnNOd7Iz5uqt1ib/+aclzeJkmsuj5hwjm6F3tDqfqV4z1hVaNnwzT5YfNtWBI61PNZknE0/Zk6th5ieJS1un+rTeOsFbbLWz4YE6rw8SxjSdTu3Ww13jIs+3Ha4PUVzNBljHl2n7p2j0UJk3jktBUMqIbabDsdra5p1Oa63AQu3mxVy04yridlmYtnykkgcyGmEcjho6bn6QbcWJaABc8V1z6eGbW3m3olzVTh1A+olZFE0ukkcGNaOEn/HCule8UrylDbd13k5hgpKWGAG4ijay/GQLE+VeYyX53m3ddDZKDIgxcUrW08Mkz+5jY556Ggn/CzWvK0QOO8RrXTyySv1ukc556XG9uhepx0ilIrCiWOrAQX72P+ECGjlqn2BnfogngjjuOHZ2xd5AuF4jkm2ThH2WUhaPy2PlGee33rQ427Jny2PlGee33pxnsP18rj++zzgscZ7B8rj++zzgnGew/Uc7Xdy5p6CD6kmJgfRYBAQEHhCCAZTZpKGtcZGh1PIdZMVtEnnYdXkstzFrsuP06x+0ZqijswuvVW6ueHX7S2fM5/Fjg3+AZl6KncHzukqXDXous1l/6W6z1lU5PEMtvSPRmKwsiGIMaGtAa0AAACwAGwALQ6pP24XFkFTHMTS+E1Hkj+FdHzPJ2hDhBvEUvhNR5I/hWfM8naDhBvEUvhNR5I/hTzPJ2g4QbxFL4TUeSP4U8zydoOEJlkLkZHhMckcUj5BI4PJfo3BA0bDRC1NRqLZpiZSiNmHl1m8hxeSN8sssZjaWAMDdYJvc6QUtPqrYYmKx1Jru/GRGbeHCZnyxSyyF7NAh4bYC4N+1A4lnUau2aIiYYiuybrVSEBBCMuc28OLTsmllljLGbmAzRsQHOdfWD95bWn1dsMbVhia7o5vEUvhNR5I/hWx5nk7Qjwg3iKXwmo8kfwp5nk7QcIN4il8JqPJH8KeZ5O0HCGfgWZympKiKdlRO50Tg8NcGWJHAbBV5dffJWazEMxXZZa0UnhQVpjeZumq6iWd9RO10ry8hoZYE67C4W9j8QvSsViI9EZrul2RuTLMMphTxve9oc5+k+17utcauha2bNOW3KYZiNm+VTKAY5m5NXirK6ScFkboy2Dc/sx2OjpaXC652cK26arhinHEdfujNd5T9aiTwoKtr8yVNNLJKaioBke6QgCOwLiXEC42a1v08RyViIiI9EJpCeZK4E3D6VlMxzntjvZzrXNyTrt0rUy5JyWm0pRGzbqtlqspsBixCmfTzA6D+EbWuBu1zecFWYsk47cqsTG6ut4ml8JqPJH8K3vM8naEeELHwDCjS0zIDI+YRjRD5ANIsGwG22w1LQvflbl0+E0HylzN0dU8yQudTOdrLWAOjJ4w09z1G3MtvDr8lI2n1RmsNBDmFF+3rCRxNhsfKXFXz4pP2qjwWBkdkFSYXrhaXSkWM0li+3CBbU0cwWlm1OTL16dk4jZKlrsiAgiudEn5prLckfJcX/ACV+m96vyxbo5TXplIsj9wQl7msaLucQ0DjJNgPKVG1orG8i8860zcMwWnoY9TpA2M87IxpynreR5SuLo6/V1E3lZb0jZRK7XGFbyycYCyztAz8EwiWsnZBAzTkebAcAHC5x4GjaSqst6Y68rMx6upsh8lI8LpWwx2LzZ0sltb5LazzDgA4AvO58s5bzZbEbJEqWRAQEBAQEBAQEBAQEBAQEBAQEBAQEBAQEBAQEBAQEBAQEBAQEBAQEBAQEBAQYON4e2qp5YHdzKx0Z5tIEX6lKlpraLR9iYcf4lQvp5XwyjRkjcWOHOP8AC9TjvF6xaFEsdTE4zN4L8rxSIuF2QfxzxXaRofqIPUtHX5eGLaPv6JVj1ZGe3GvlOJvjBuynaIh/X3Uh8pt+FY8Ox8cW/cvPqr9b6IsDb5NZN1GIzCKnYXH7Ttegwcb3cA/MqnNnrirvaWYjd0lkBkNDhMVm9vO8DdJiNbv5Wj7LAeDyrgajU2zW3notiuyWrXZEBAQEBAQEBAQEBAQEBAQEBAQEBAQEBAQEBAQEBAQEBAQEBAQEBAQEBAQEBAQEFbZ1M2wxEfKKbRbVNFiDqEzQNQJ4HjgPUebe0mrnFPG3T/4jau7nqvoJKeQxzMdHI3ax4LSOo8HOu7TJW8b1lUunM5TtoMKqsQkHdB5HOyEOAA6X3C4+ut9TNGOFlfSN1J1dS6WR8jzdz3F7j/M43PrXYrXjEQrZWFYLUVbg2nhklJ1dowkDpOwDnKjfNSkf8pIhaWSeZKR5D6+QRt27jHrceZz9jeq/Uubm8S+2P/tOKLlwTBYaKIRU8bY2DgaNZPG47XHnK5V72vO9pWRGzYKIICAgICAgICAgICAgICAgICAgICAgICAgICAgICAgICAgICAgICAgICAgICAgICAg1GP5NUtezRqYWSW2OIs5v9LxrCsx5b453rLExuxK3JKnfQMoe3bTt0W2Y6zi1p0rF1tdzrPGs1zWi/P7m3pswsMzZYZBspWPPHKXSfk42/JWX1ea3WxxhKqemZG3RY1rGjgaAB5AtaZmerL6oCAgICAgICAgICAgICAgICAgICAgICAgICAgICAgICAgICAgICAgICAgICAgICAg/9k=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2009775" y="1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438150</xdr:colOff>
      <xdr:row>1</xdr:row>
      <xdr:rowOff>19050</xdr:rowOff>
    </xdr:from>
    <xdr:to>
      <xdr:col>3</xdr:col>
      <xdr:colOff>107950</xdr:colOff>
      <xdr:row>3</xdr:row>
      <xdr:rowOff>76121</xdr:rowOff>
    </xdr:to>
    <xdr:pic>
      <xdr:nvPicPr>
        <xdr:cNvPr id="13" name="Imagem 12" descr="http://blog.euvoupassar.com.br/wp-content/uploads/2013/06/CEFET-RJ.jp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09550"/>
          <a:ext cx="1857375" cy="498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285750</xdr:colOff>
      <xdr:row>1</xdr:row>
      <xdr:rowOff>0</xdr:rowOff>
    </xdr:from>
    <xdr:to>
      <xdr:col>8</xdr:col>
      <xdr:colOff>622300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93950" y="177800"/>
          <a:ext cx="4603750" cy="555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 b="1" i="1">
              <a:solidFill>
                <a:schemeClr val="tx2"/>
              </a:solidFill>
              <a:latin typeface="+mj-lt"/>
            </a:rPr>
            <a:t>- Aula</a:t>
          </a:r>
          <a:r>
            <a:rPr lang="pt-BR" sz="2000" b="1" i="1" baseline="0">
              <a:solidFill>
                <a:schemeClr val="tx2"/>
              </a:solidFill>
              <a:latin typeface="+mj-lt"/>
            </a:rPr>
            <a:t> 1 - indicadores de logística</a:t>
          </a:r>
          <a:endParaRPr lang="pt-BR" sz="2000" b="1" i="1">
            <a:solidFill>
              <a:schemeClr val="tx2"/>
            </a:solidFill>
            <a:latin typeface="+mj-lt"/>
          </a:endParaRPr>
        </a:p>
      </xdr:txBody>
    </xdr:sp>
    <xdr:clientData/>
  </xdr:twoCellAnchor>
  <xdr:twoCellAnchor>
    <xdr:from>
      <xdr:col>1</xdr:col>
      <xdr:colOff>76200</xdr:colOff>
      <xdr:row>31</xdr:row>
      <xdr:rowOff>68580</xdr:rowOff>
    </xdr:from>
    <xdr:to>
      <xdr:col>5</xdr:col>
      <xdr:colOff>259080</xdr:colOff>
      <xdr:row>34</xdr:row>
      <xdr:rowOff>152400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" y="5707380"/>
          <a:ext cx="511302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36</xdr:row>
      <xdr:rowOff>0</xdr:rowOff>
    </xdr:from>
    <xdr:to>
      <xdr:col>2</xdr:col>
      <xdr:colOff>83820</xdr:colOff>
      <xdr:row>38</xdr:row>
      <xdr:rowOff>99060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" y="6515100"/>
          <a:ext cx="88392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441960</xdr:colOff>
      <xdr:row>35</xdr:row>
      <xdr:rowOff>0</xdr:rowOff>
    </xdr:from>
    <xdr:to>
      <xdr:col>3</xdr:col>
      <xdr:colOff>739140</xdr:colOff>
      <xdr:row>38</xdr:row>
      <xdr:rowOff>144780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6339840"/>
          <a:ext cx="1112520" cy="67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40</xdr:row>
          <xdr:rowOff>99060</xdr:rowOff>
        </xdr:from>
        <xdr:to>
          <xdr:col>2</xdr:col>
          <xdr:colOff>601980</xdr:colOff>
          <xdr:row>43</xdr:row>
          <xdr:rowOff>121920</xdr:rowOff>
        </xdr:to>
        <xdr:sp macro="" textlink="">
          <xdr:nvSpPr>
            <xdr:cNvPr id="2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40</xdr:row>
          <xdr:rowOff>129540</xdr:rowOff>
        </xdr:from>
        <xdr:to>
          <xdr:col>3</xdr:col>
          <xdr:colOff>1043940</xdr:colOff>
          <xdr:row>42</xdr:row>
          <xdr:rowOff>30480</xdr:rowOff>
        </xdr:to>
        <xdr:sp macro="" textlink="">
          <xdr:nvSpPr>
            <xdr:cNvPr id="4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45</xdr:row>
          <xdr:rowOff>45720</xdr:rowOff>
        </xdr:from>
        <xdr:to>
          <xdr:col>2</xdr:col>
          <xdr:colOff>548640</xdr:colOff>
          <xdr:row>47</xdr:row>
          <xdr:rowOff>129540</xdr:rowOff>
        </xdr:to>
        <xdr:sp macro="" textlink="">
          <xdr:nvSpPr>
            <xdr:cNvPr id="5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45</xdr:row>
          <xdr:rowOff>7620</xdr:rowOff>
        </xdr:from>
        <xdr:to>
          <xdr:col>3</xdr:col>
          <xdr:colOff>1539240</xdr:colOff>
          <xdr:row>47</xdr:row>
          <xdr:rowOff>91440</xdr:rowOff>
        </xdr:to>
        <xdr:sp macro="" textlink="">
          <xdr:nvSpPr>
            <xdr:cNvPr id="6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259080</xdr:colOff>
      <xdr:row>49</xdr:row>
      <xdr:rowOff>76200</xdr:rowOff>
    </xdr:from>
    <xdr:to>
      <xdr:col>6</xdr:col>
      <xdr:colOff>55880</xdr:colOff>
      <xdr:row>62</xdr:row>
      <xdr:rowOff>13970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/>
      </xdr:nvPicPr>
      <xdr:blipFill rotWithShape="1">
        <a:blip xmlns:r="http://schemas.openxmlformats.org/officeDocument/2006/relationships" r:embed="rId5"/>
        <a:srcRect l="7243" t="13465" r="9228" b="31439"/>
        <a:stretch/>
      </xdr:blipFill>
      <xdr:spPr bwMode="auto">
        <a:xfrm>
          <a:off x="259080" y="8877300"/>
          <a:ext cx="5976620" cy="221615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2301240</xdr:colOff>
          <xdr:row>22</xdr:row>
          <xdr:rowOff>129540</xdr:rowOff>
        </xdr:from>
        <xdr:to>
          <xdr:col>5</xdr:col>
          <xdr:colOff>525780</xdr:colOff>
          <xdr:row>24</xdr:row>
          <xdr:rowOff>76200</xdr:rowOff>
        </xdr:to>
        <xdr:sp macro="" textlink="">
          <xdr:nvSpPr>
            <xdr:cNvPr id="7" name="Command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E7DBA0C-4E38-421E-A0AD-9B9C0298E727}" autoFormatId="16" applyNumberFormats="0" applyBorderFormats="0" applyFontFormats="0" applyPatternFormats="0" applyAlignmentFormats="0" applyWidthHeightFormats="0">
  <queryTableRefresh nextId="16">
    <queryTableFields count="10">
      <queryTableField id="1" name="Column1" tableColumnId="1"/>
      <queryTableField id="2" name="V1" tableColumnId="2"/>
      <queryTableField id="3" name="V2" tableColumnId="3"/>
      <queryTableField id="4" name="V3" tableColumnId="4"/>
      <queryTableField id="5" name="V4" tableColumnId="5"/>
      <queryTableField id="6" name="V5" tableColumnId="6"/>
      <queryTableField id="7" name="V6" tableColumnId="7"/>
      <queryTableField id="9" name="V8" tableColumnId="9"/>
      <queryTableField id="10" name="V9" tableColumnId="10"/>
      <queryTableField id="15" name="V14" tableColumnId="15"/>
    </queryTableFields>
    <queryTableDeletedFields count="5">
      <deletedField name="V7"/>
      <deletedField name="V10"/>
      <deletedField name="V11"/>
      <deletedField name="V12"/>
      <deletedField name="V13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DFCD39-A8B4-4A23-9BB3-C7FB927BF887}" name="data" displayName="data" ref="A1:J304" tableType="queryTable" totalsRowShown="0" headerRowDxfId="14" dataDxfId="13" headerRowBorderDxfId="11" tableBorderDxfId="12" totalsRowBorderDxfId="10">
  <tableColumns count="10">
    <tableColumn id="1" xr3:uid="{831AD719-8F80-4065-9F1A-6550E626CF65}" uniqueName="1" name="Column1" queryTableFieldId="1" dataDxfId="9"/>
    <tableColumn id="2" xr3:uid="{43B1F5EB-C146-4A53-B6F4-B427F4724B8A}" uniqueName="2" name="Demanda" queryTableFieldId="2" dataDxfId="8"/>
    <tableColumn id="3" xr3:uid="{593866D3-0403-46B9-8E07-964AEB927BE8}" uniqueName="3" name="ISO 9000" queryTableFieldId="3" dataDxfId="7"/>
    <tableColumn id="4" xr3:uid="{B14CB645-6F3D-4878-8FD3-B3D533624FB2}" uniqueName="4" name="SKU" queryTableFieldId="4" dataDxfId="6"/>
    <tableColumn id="5" xr3:uid="{D0A07AA0-741D-4CD5-9EA5-26BE446BF8E3}" uniqueName="5" name="Média de atraso (h)" queryTableFieldId="5" dataDxfId="5"/>
    <tableColumn id="6" xr3:uid="{6B2B0BE6-5911-4E8F-8590-0AA3DF1B6468}" uniqueName="6" name="Reclamações" queryTableFieldId="6" dataDxfId="4"/>
    <tableColumn id="7" xr3:uid="{B2188872-E8B1-4A94-AC68-9A2592F4353E}" uniqueName="7" name="Aplica Lean" queryTableFieldId="7" dataDxfId="3"/>
    <tableColumn id="9" xr3:uid="{8202ED0D-4618-4520-AF7C-C78584D77BFF}" uniqueName="9" name="Reclamações resolvidas" queryTableFieldId="9" dataDxfId="2"/>
    <tableColumn id="10" xr3:uid="{EC5FD805-14CB-44BB-84CB-EB1D65B6FF98}" uniqueName="10" name="Pedido incompleto" queryTableFieldId="10" dataDxfId="1"/>
    <tableColumn id="15" xr3:uid="{6FF3AA75-8E2E-412F-9E6A-0020ABF04333}" uniqueName="15" name="Nível de falha fornecedo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B657B-DB7B-4DDA-940A-9258818DF95A}">
  <sheetPr codeName="Planilha4"/>
  <dimension ref="A1"/>
  <sheetViews>
    <sheetView tabSelected="1" workbookViewId="0"/>
  </sheetViews>
  <sheetFormatPr defaultRowHeight="14.4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3:P37"/>
  <sheetViews>
    <sheetView showGridLines="0" zoomScaleNormal="100" workbookViewId="0">
      <selection activeCell="B13" sqref="B13"/>
    </sheetView>
  </sheetViews>
  <sheetFormatPr defaultColWidth="0" defaultRowHeight="13.9"/>
  <cols>
    <col min="1" max="1" width="9.140625" style="7" customWidth="1"/>
    <col min="2" max="2" width="11.7109375" style="7" customWidth="1"/>
    <col min="3" max="3" width="11.85546875" style="7" customWidth="1"/>
    <col min="4" max="4" width="39.28515625" style="7" customWidth="1"/>
    <col min="5" max="7" width="9.140625" style="7" customWidth="1"/>
    <col min="8" max="8" width="17.5703125" style="7" customWidth="1"/>
    <col min="9" max="16" width="9.140625" style="7" customWidth="1"/>
    <col min="17" max="16384" width="9.140625" style="7" hidden="1"/>
  </cols>
  <sheetData>
    <row r="3" spans="2:11" ht="20.45">
      <c r="E3" s="6"/>
    </row>
    <row r="5" spans="2:11" s="8" customFormat="1" ht="7.5" customHeight="1"/>
    <row r="7" spans="2:11" ht="21" thickBot="1">
      <c r="B7" s="23" t="s">
        <v>0</v>
      </c>
      <c r="C7" s="23"/>
      <c r="D7" s="23"/>
    </row>
    <row r="8" spans="2:11" ht="14.45" thickTop="1"/>
    <row r="9" spans="2:11">
      <c r="B9" s="9" t="s">
        <v>1</v>
      </c>
    </row>
    <row r="10" spans="2:11">
      <c r="B10" s="9" t="s">
        <v>2</v>
      </c>
      <c r="K10" s="9" t="s">
        <v>3</v>
      </c>
    </row>
    <row r="12" spans="2:11">
      <c r="B12" s="9" t="s">
        <v>4</v>
      </c>
    </row>
    <row r="14" spans="2:11">
      <c r="B14" s="9" t="s">
        <v>5</v>
      </c>
      <c r="C14" s="9" t="s">
        <v>6</v>
      </c>
    </row>
    <row r="15" spans="2:11">
      <c r="B15" s="10"/>
    </row>
    <row r="16" spans="2:11">
      <c r="B16" s="9" t="s">
        <v>7</v>
      </c>
    </row>
    <row r="18" spans="2:8">
      <c r="B18" s="9" t="s">
        <v>8</v>
      </c>
    </row>
    <row r="19" spans="2:8">
      <c r="C19" s="9"/>
    </row>
    <row r="22" spans="2:8" ht="21" thickBot="1">
      <c r="B22" s="23" t="s">
        <v>9</v>
      </c>
      <c r="C22" s="23"/>
      <c r="D22" s="23"/>
    </row>
    <row r="23" spans="2:8" ht="15" thickTop="1">
      <c r="H23"/>
    </row>
    <row r="24" spans="2:8">
      <c r="B24" s="9" t="s">
        <v>10</v>
      </c>
    </row>
    <row r="26" spans="2:8">
      <c r="B26" s="9" t="s">
        <v>11</v>
      </c>
    </row>
    <row r="28" spans="2:8">
      <c r="B28" s="9" t="s">
        <v>12</v>
      </c>
    </row>
    <row r="30" spans="2:8">
      <c r="B30" s="9" t="s">
        <v>13</v>
      </c>
    </row>
    <row r="35" spans="2:4">
      <c r="B35" s="9"/>
    </row>
    <row r="36" spans="2:4">
      <c r="B36" s="9"/>
    </row>
    <row r="37" spans="2:4" ht="14.45">
      <c r="B37"/>
      <c r="D37"/>
    </row>
  </sheetData>
  <mergeCells count="2">
    <mergeCell ref="B7:D7"/>
    <mergeCell ref="B22:D22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oleObjects>
        <mc:AlternateContent xmlns:mc="http://schemas.openxmlformats.org/markup-compatibility/2006">
          <mc:Choice Requires="x14">
            <oleObject shapeId="2" r:id="rId4">
              <objectPr defaultSize="0" autoPict="0" r:id="rId5">
                <anchor moveWithCells="1" sizeWithCells="1">
                  <from>
                    <xdr:col>0</xdr:col>
                    <xdr:colOff>594360</xdr:colOff>
                    <xdr:row>40</xdr:row>
                    <xdr:rowOff>99060</xdr:rowOff>
                  </from>
                  <to>
                    <xdr:col>2</xdr:col>
                    <xdr:colOff>601980</xdr:colOff>
                    <xdr:row>43</xdr:row>
                    <xdr:rowOff>121920</xdr:rowOff>
                  </to>
                </anchor>
              </objectPr>
            </oleObject>
          </mc:Choice>
          <mc:Fallback>
            <oleObject shapeId="1028" r:id="rId4"/>
          </mc:Fallback>
        </mc:AlternateContent>
        <mc:AlternateContent xmlns:mc="http://schemas.openxmlformats.org/markup-compatibility/2006">
          <mc:Choice Requires="x14">
            <oleObject shapeId="4" r:id="rId6">
              <objectPr defaultSize="0" autoPict="0" r:id="rId7">
                <anchor moveWithCells="1" sizeWithCells="1">
                  <from>
                    <xdr:col>3</xdr:col>
                    <xdr:colOff>251460</xdr:colOff>
                    <xdr:row>40</xdr:row>
                    <xdr:rowOff>129540</xdr:rowOff>
                  </from>
                  <to>
                    <xdr:col>3</xdr:col>
                    <xdr:colOff>1043940</xdr:colOff>
                    <xdr:row>42</xdr:row>
                    <xdr:rowOff>30480</xdr:rowOff>
                  </to>
                </anchor>
              </objectPr>
            </oleObject>
          </mc:Choice>
          <mc:Fallback>
            <oleObject shapeId="1029" r:id="rId6"/>
          </mc:Fallback>
        </mc:AlternateContent>
        <mc:AlternateContent xmlns:mc="http://schemas.openxmlformats.org/markup-compatibility/2006">
          <mc:Choice Requires="x14">
            <oleObject shapeId="5" r:id="rId8">
              <objectPr defaultSize="0" autoPict="0" r:id="rId9">
                <anchor moveWithCells="1" sizeWithCells="1">
                  <from>
                    <xdr:col>0</xdr:col>
                    <xdr:colOff>571500</xdr:colOff>
                    <xdr:row>45</xdr:row>
                    <xdr:rowOff>45720</xdr:rowOff>
                  </from>
                  <to>
                    <xdr:col>2</xdr:col>
                    <xdr:colOff>548640</xdr:colOff>
                    <xdr:row>47</xdr:row>
                    <xdr:rowOff>129540</xdr:rowOff>
                  </to>
                </anchor>
              </objectPr>
            </oleObject>
          </mc:Choice>
          <mc:Fallback>
            <oleObject shapeId="1030" r:id="rId8"/>
          </mc:Fallback>
        </mc:AlternateContent>
        <mc:AlternateContent xmlns:mc="http://schemas.openxmlformats.org/markup-compatibility/2006">
          <mc:Choice Requires="x14">
            <oleObject shapeId="6" r:id="rId10">
              <objectPr defaultSize="0" autoPict="0" r:id="rId11">
                <anchor moveWithCells="1" sizeWithCells="1">
                  <from>
                    <xdr:col>3</xdr:col>
                    <xdr:colOff>53340</xdr:colOff>
                    <xdr:row>45</xdr:row>
                    <xdr:rowOff>7620</xdr:rowOff>
                  </from>
                  <to>
                    <xdr:col>3</xdr:col>
                    <xdr:colOff>1539240</xdr:colOff>
                    <xdr:row>47</xdr:row>
                    <xdr:rowOff>91440</xdr:rowOff>
                  </to>
                </anchor>
              </objectPr>
            </oleObject>
          </mc:Choice>
          <mc:Fallback>
            <oleObject shapeId="1031" r:id="rId10"/>
          </mc:Fallback>
        </mc:AlternateContent>
      </oleObjects>
    </mc:Choice>
  </mc:AlternateContent>
  <controls>
    <mc:AlternateContent xmlns:mc="http://schemas.openxmlformats.org/markup-compatibility/2006">
      <mc:Choice Requires="x14">
        <control shapeId="7" r:id="rId12" name="CommandButton1">
          <controlPr defaultSize="0" autoLine="0" r:id="rId13">
            <anchor moveWithCells="1">
              <from>
                <xdr:col>3</xdr:col>
                <xdr:colOff>2301240</xdr:colOff>
                <xdr:row>22</xdr:row>
                <xdr:rowOff>129540</xdr:rowOff>
              </from>
              <to>
                <xdr:col>5</xdr:col>
                <xdr:colOff>525780</xdr:colOff>
                <xdr:row>24</xdr:row>
                <xdr:rowOff>76200</xdr:rowOff>
              </to>
            </anchor>
          </controlPr>
        </control>
      </mc:Choice>
      <mc:Fallback>
        <control shapeId="1033" r:id="rId12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AF653"/>
  <sheetViews>
    <sheetView showGridLines="0" workbookViewId="0">
      <selection activeCell="G1" sqref="G1"/>
    </sheetView>
  </sheetViews>
  <sheetFormatPr defaultRowHeight="14.45" outlineLevelCol="1"/>
  <cols>
    <col min="1" max="3" width="9.140625" customWidth="1"/>
    <col min="4" max="4" width="16" customWidth="1" outlineLevel="1"/>
    <col min="5" max="5" width="15.42578125" customWidth="1"/>
    <col min="6" max="6" width="14.7109375" customWidth="1"/>
    <col min="7" max="7" width="14.140625" customWidth="1"/>
    <col min="8" max="8" width="15.140625" customWidth="1"/>
    <col min="9" max="9" width="11.85546875" customWidth="1"/>
    <col min="10" max="10" width="11.28515625" bestFit="1" customWidth="1"/>
    <col min="11" max="11" width="11.5703125" bestFit="1" customWidth="1"/>
    <col min="32" max="32" width="60.85546875" bestFit="1" customWidth="1"/>
  </cols>
  <sheetData>
    <row r="1" spans="1:32" ht="21.75" customHeight="1">
      <c r="A1" s="4" t="s">
        <v>14</v>
      </c>
      <c r="B1" s="4" t="s">
        <v>15</v>
      </c>
      <c r="C1" s="4" t="s">
        <v>16</v>
      </c>
      <c r="D1" s="4" t="s">
        <v>17</v>
      </c>
      <c r="E1" s="4" t="s">
        <v>18</v>
      </c>
      <c r="F1" s="4" t="s">
        <v>19</v>
      </c>
      <c r="G1" s="4" t="s">
        <v>20</v>
      </c>
      <c r="H1" s="4" t="s">
        <v>21</v>
      </c>
      <c r="I1" s="4" t="s">
        <v>22</v>
      </c>
      <c r="J1" s="4" t="s">
        <v>23</v>
      </c>
      <c r="K1" s="4" t="s">
        <v>24</v>
      </c>
    </row>
    <row r="2" spans="1:32" ht="21.75" customHeight="1">
      <c r="A2" s="2">
        <v>20</v>
      </c>
      <c r="B2" s="1" t="s">
        <v>25</v>
      </c>
      <c r="C2" s="1">
        <v>2012</v>
      </c>
      <c r="D2" s="1" t="s">
        <v>26</v>
      </c>
      <c r="E2" s="1">
        <v>2</v>
      </c>
      <c r="F2" s="1">
        <v>2</v>
      </c>
      <c r="G2" s="1" t="s">
        <v>27</v>
      </c>
      <c r="H2" s="1" t="s">
        <v>28</v>
      </c>
      <c r="I2" s="3">
        <v>40931.755636574075</v>
      </c>
      <c r="J2" s="1">
        <v>1</v>
      </c>
      <c r="K2" s="1">
        <v>0</v>
      </c>
    </row>
    <row r="3" spans="1:32" ht="21.75" customHeight="1">
      <c r="A3" s="2">
        <v>27</v>
      </c>
      <c r="B3" s="1" t="s">
        <v>25</v>
      </c>
      <c r="C3" s="1">
        <v>2012</v>
      </c>
      <c r="D3" s="1" t="s">
        <v>29</v>
      </c>
      <c r="E3" s="1">
        <v>1000</v>
      </c>
      <c r="F3" s="1">
        <v>1000</v>
      </c>
      <c r="G3" s="1" t="s">
        <v>30</v>
      </c>
      <c r="H3" s="1" t="s">
        <v>28</v>
      </c>
      <c r="I3" s="3">
        <v>40934.650092592594</v>
      </c>
      <c r="J3" s="1">
        <v>1</v>
      </c>
      <c r="K3" s="1">
        <v>0</v>
      </c>
      <c r="AF3" s="5"/>
    </row>
    <row r="4" spans="1:32" ht="21.75" customHeight="1">
      <c r="A4" s="2">
        <v>15</v>
      </c>
      <c r="B4" s="1" t="s">
        <v>25</v>
      </c>
      <c r="C4" s="1">
        <v>2012</v>
      </c>
      <c r="D4" s="1" t="s">
        <v>29</v>
      </c>
      <c r="E4" s="1">
        <v>100</v>
      </c>
      <c r="F4" s="1">
        <v>100</v>
      </c>
      <c r="G4" s="1" t="s">
        <v>30</v>
      </c>
      <c r="H4" s="1" t="s">
        <v>28</v>
      </c>
      <c r="I4" s="3">
        <v>40923.361458333333</v>
      </c>
      <c r="J4" s="1">
        <v>1</v>
      </c>
      <c r="K4" s="1">
        <v>0</v>
      </c>
      <c r="AF4" s="5"/>
    </row>
    <row r="5" spans="1:32" ht="21.75" customHeight="1">
      <c r="A5" s="2">
        <v>20</v>
      </c>
      <c r="B5" s="1" t="s">
        <v>25</v>
      </c>
      <c r="C5" s="1">
        <v>2012</v>
      </c>
      <c r="D5" s="1" t="s">
        <v>29</v>
      </c>
      <c r="E5" s="1">
        <v>100</v>
      </c>
      <c r="F5" s="1">
        <v>100</v>
      </c>
      <c r="G5" s="1" t="s">
        <v>30</v>
      </c>
      <c r="H5" s="1" t="s">
        <v>28</v>
      </c>
      <c r="I5" s="3">
        <v>40931.429629629631</v>
      </c>
      <c r="J5" s="1">
        <v>1</v>
      </c>
      <c r="K5" s="1">
        <v>0</v>
      </c>
      <c r="AF5" s="5"/>
    </row>
    <row r="6" spans="1:32" ht="21.75" customHeight="1">
      <c r="A6" s="2">
        <v>3</v>
      </c>
      <c r="B6" s="1" t="s">
        <v>31</v>
      </c>
      <c r="C6" s="1">
        <v>2012</v>
      </c>
      <c r="D6" s="1" t="s">
        <v>29</v>
      </c>
      <c r="E6" s="1">
        <v>1000</v>
      </c>
      <c r="F6" s="1">
        <v>1000</v>
      </c>
      <c r="G6" s="1" t="s">
        <v>30</v>
      </c>
      <c r="H6" s="1" t="s">
        <v>28</v>
      </c>
      <c r="I6" s="3">
        <v>40973.503495370373</v>
      </c>
      <c r="J6" s="1">
        <v>1</v>
      </c>
      <c r="K6" s="1">
        <v>0</v>
      </c>
      <c r="AF6" s="5"/>
    </row>
    <row r="7" spans="1:32" ht="21.75" customHeight="1">
      <c r="A7" s="2">
        <v>10</v>
      </c>
      <c r="B7" s="1" t="s">
        <v>32</v>
      </c>
      <c r="C7" s="1">
        <v>2012</v>
      </c>
      <c r="D7" s="1" t="s">
        <v>29</v>
      </c>
      <c r="E7" s="1">
        <v>30</v>
      </c>
      <c r="F7" s="1">
        <v>30</v>
      </c>
      <c r="G7" s="1" t="s">
        <v>30</v>
      </c>
      <c r="H7" s="1" t="s">
        <v>28</v>
      </c>
      <c r="I7" s="3">
        <v>41009.489363425928</v>
      </c>
      <c r="J7" s="1">
        <v>1</v>
      </c>
      <c r="K7" s="1">
        <v>0</v>
      </c>
      <c r="AF7" s="5"/>
    </row>
    <row r="8" spans="1:32" ht="21.75" customHeight="1">
      <c r="A8" s="2">
        <v>19</v>
      </c>
      <c r="B8" s="1" t="s">
        <v>32</v>
      </c>
      <c r="C8" s="1">
        <v>2012</v>
      </c>
      <c r="D8" s="1" t="s">
        <v>29</v>
      </c>
      <c r="E8" s="1">
        <v>30</v>
      </c>
      <c r="F8" s="1">
        <v>30</v>
      </c>
      <c r="G8" s="1" t="s">
        <v>30</v>
      </c>
      <c r="H8" s="1" t="s">
        <v>33</v>
      </c>
      <c r="I8" s="3">
        <v>41017.491076388891</v>
      </c>
      <c r="J8" s="1">
        <v>1</v>
      </c>
      <c r="K8" s="1">
        <v>0</v>
      </c>
      <c r="AF8" s="5"/>
    </row>
    <row r="9" spans="1:32" ht="21.75" customHeight="1">
      <c r="A9" s="2">
        <v>28</v>
      </c>
      <c r="B9" s="1" t="s">
        <v>32</v>
      </c>
      <c r="C9" s="1">
        <v>2012</v>
      </c>
      <c r="D9" s="1" t="s">
        <v>29</v>
      </c>
      <c r="E9" s="1">
        <v>1000</v>
      </c>
      <c r="F9" s="1">
        <v>1000</v>
      </c>
      <c r="G9" s="1" t="s">
        <v>30</v>
      </c>
      <c r="H9" s="1" t="s">
        <v>28</v>
      </c>
      <c r="I9" s="3">
        <v>41027.456076388888</v>
      </c>
      <c r="J9" s="1">
        <v>1</v>
      </c>
      <c r="K9" s="1">
        <v>0</v>
      </c>
      <c r="AF9" s="5"/>
    </row>
    <row r="10" spans="1:32" ht="21.75" customHeight="1">
      <c r="A10" s="2">
        <v>9</v>
      </c>
      <c r="B10" s="1" t="s">
        <v>34</v>
      </c>
      <c r="C10" s="1">
        <v>2012</v>
      </c>
      <c r="D10" s="1" t="s">
        <v>29</v>
      </c>
      <c r="E10" s="1">
        <v>20</v>
      </c>
      <c r="F10" s="1">
        <v>20</v>
      </c>
      <c r="G10" s="1" t="s">
        <v>30</v>
      </c>
      <c r="H10" s="1" t="s">
        <v>28</v>
      </c>
      <c r="I10" s="3">
        <v>41038.718414351853</v>
      </c>
      <c r="J10" s="1">
        <v>1</v>
      </c>
      <c r="K10" s="1">
        <v>0</v>
      </c>
      <c r="AF10" s="5"/>
    </row>
    <row r="11" spans="1:32" ht="21.75" customHeight="1">
      <c r="A11" s="2">
        <v>11</v>
      </c>
      <c r="B11" s="1" t="s">
        <v>34</v>
      </c>
      <c r="C11" s="1">
        <v>2012</v>
      </c>
      <c r="D11" s="1" t="s">
        <v>29</v>
      </c>
      <c r="E11" s="1">
        <v>500</v>
      </c>
      <c r="F11" s="1">
        <v>500</v>
      </c>
      <c r="G11" s="1" t="s">
        <v>30</v>
      </c>
      <c r="H11" s="1" t="s">
        <v>28</v>
      </c>
      <c r="I11" s="3">
        <v>41039.636435185188</v>
      </c>
      <c r="J11" s="1">
        <v>1</v>
      </c>
      <c r="K11" s="1">
        <v>0</v>
      </c>
      <c r="AF11" s="5"/>
    </row>
    <row r="12" spans="1:32" ht="21.75" customHeight="1">
      <c r="A12" s="2">
        <v>26</v>
      </c>
      <c r="B12" s="1" t="s">
        <v>34</v>
      </c>
      <c r="C12" s="1">
        <v>2012</v>
      </c>
      <c r="D12" s="1" t="s">
        <v>29</v>
      </c>
      <c r="E12" s="1">
        <v>100</v>
      </c>
      <c r="F12" s="1">
        <v>100</v>
      </c>
      <c r="G12" s="1" t="s">
        <v>30</v>
      </c>
      <c r="H12" s="1" t="s">
        <v>28</v>
      </c>
      <c r="I12" s="3">
        <v>41055.385567129626</v>
      </c>
      <c r="J12" s="1">
        <v>1</v>
      </c>
      <c r="K12" s="1">
        <v>0</v>
      </c>
      <c r="AF12" s="5"/>
    </row>
    <row r="13" spans="1:32" ht="21.75" customHeight="1">
      <c r="A13" s="2">
        <v>15</v>
      </c>
      <c r="B13" s="1" t="s">
        <v>35</v>
      </c>
      <c r="C13" s="1">
        <v>2012</v>
      </c>
      <c r="D13" s="1" t="s">
        <v>29</v>
      </c>
      <c r="E13" s="1">
        <v>50</v>
      </c>
      <c r="F13" s="1">
        <v>50</v>
      </c>
      <c r="G13" s="1" t="s">
        <v>30</v>
      </c>
      <c r="H13" s="1" t="s">
        <v>28</v>
      </c>
      <c r="I13" s="3">
        <v>41086.378657407404</v>
      </c>
      <c r="J13" s="1">
        <v>1</v>
      </c>
      <c r="K13" s="1">
        <v>0</v>
      </c>
      <c r="AF13" s="5"/>
    </row>
    <row r="14" spans="1:32" ht="21.75" customHeight="1">
      <c r="A14" s="2">
        <v>4</v>
      </c>
      <c r="B14" s="1" t="s">
        <v>36</v>
      </c>
      <c r="C14" s="1">
        <v>2012</v>
      </c>
      <c r="D14" s="1" t="s">
        <v>29</v>
      </c>
      <c r="E14" s="1">
        <v>20</v>
      </c>
      <c r="F14" s="1">
        <v>20</v>
      </c>
      <c r="G14" s="1" t="s">
        <v>30</v>
      </c>
      <c r="H14" s="1" t="s">
        <v>28</v>
      </c>
      <c r="I14" s="3">
        <v>41094.48909722222</v>
      </c>
      <c r="J14" s="1">
        <v>1</v>
      </c>
      <c r="K14" s="1">
        <v>0</v>
      </c>
      <c r="AF14" s="5"/>
    </row>
    <row r="15" spans="1:32" ht="21.75" customHeight="1">
      <c r="A15" s="2">
        <v>24</v>
      </c>
      <c r="B15" s="1" t="s">
        <v>37</v>
      </c>
      <c r="C15" s="1">
        <v>2012</v>
      </c>
      <c r="D15" s="1" t="s">
        <v>29</v>
      </c>
      <c r="E15" s="1">
        <v>50</v>
      </c>
      <c r="F15" s="1">
        <v>50</v>
      </c>
      <c r="G15" s="1" t="s">
        <v>30</v>
      </c>
      <c r="H15" s="1" t="s">
        <v>28</v>
      </c>
      <c r="I15" s="3">
        <v>41145.491574074076</v>
      </c>
      <c r="J15" s="1">
        <v>1</v>
      </c>
      <c r="K15" s="1">
        <v>0</v>
      </c>
      <c r="AF15" s="5"/>
    </row>
    <row r="16" spans="1:32" ht="21.75" customHeight="1">
      <c r="A16" s="2">
        <v>21</v>
      </c>
      <c r="B16" s="1" t="s">
        <v>38</v>
      </c>
      <c r="C16" s="1">
        <v>2012</v>
      </c>
      <c r="D16" s="1" t="s">
        <v>29</v>
      </c>
      <c r="E16" s="1">
        <v>500</v>
      </c>
      <c r="F16" s="1">
        <v>0</v>
      </c>
      <c r="G16" s="1" t="s">
        <v>30</v>
      </c>
      <c r="H16" s="1" t="s">
        <v>33</v>
      </c>
      <c r="I16" s="3">
        <v>41173.48710648148</v>
      </c>
      <c r="J16" s="1">
        <v>1</v>
      </c>
      <c r="K16" s="1">
        <v>0</v>
      </c>
      <c r="AF16" s="5"/>
    </row>
    <row r="17" spans="1:32" ht="21.75" customHeight="1">
      <c r="A17" s="2">
        <v>4</v>
      </c>
      <c r="B17" s="1" t="s">
        <v>32</v>
      </c>
      <c r="C17" s="1">
        <v>2012</v>
      </c>
      <c r="D17" s="1" t="s">
        <v>39</v>
      </c>
      <c r="E17" s="1">
        <v>1</v>
      </c>
      <c r="F17" s="1">
        <v>1</v>
      </c>
      <c r="G17" s="1" t="s">
        <v>27</v>
      </c>
      <c r="H17" s="1" t="s">
        <v>28</v>
      </c>
      <c r="I17" s="3">
        <v>41008.675567129627</v>
      </c>
      <c r="J17" s="1">
        <v>1</v>
      </c>
      <c r="K17" s="1">
        <v>0</v>
      </c>
      <c r="AF17" s="5"/>
    </row>
    <row r="18" spans="1:32" ht="21.75" customHeight="1">
      <c r="A18" s="2">
        <v>4</v>
      </c>
      <c r="B18" s="1" t="s">
        <v>32</v>
      </c>
      <c r="C18" s="1">
        <v>2012</v>
      </c>
      <c r="D18" s="1" t="s">
        <v>39</v>
      </c>
      <c r="E18" s="1">
        <v>8</v>
      </c>
      <c r="F18" s="1">
        <v>8</v>
      </c>
      <c r="G18" s="1" t="s">
        <v>27</v>
      </c>
      <c r="H18" s="1" t="s">
        <v>28</v>
      </c>
      <c r="I18" s="3">
        <v>41008.675567129627</v>
      </c>
      <c r="J18" s="1">
        <v>0</v>
      </c>
      <c r="K18" s="1">
        <v>2</v>
      </c>
      <c r="AF18" s="5"/>
    </row>
    <row r="19" spans="1:32" ht="21.75" customHeight="1">
      <c r="A19" s="2">
        <v>4</v>
      </c>
      <c r="B19" s="1" t="s">
        <v>32</v>
      </c>
      <c r="C19" s="1">
        <v>2012</v>
      </c>
      <c r="D19" s="1" t="s">
        <v>39</v>
      </c>
      <c r="E19" s="1">
        <v>1</v>
      </c>
      <c r="F19" s="1">
        <v>1</v>
      </c>
      <c r="G19" s="1" t="s">
        <v>27</v>
      </c>
      <c r="H19" s="1" t="s">
        <v>28</v>
      </c>
      <c r="I19" s="3">
        <v>41008.675567129627</v>
      </c>
      <c r="J19" s="1">
        <v>0</v>
      </c>
      <c r="K19" s="1">
        <v>2</v>
      </c>
      <c r="AF19" s="5"/>
    </row>
    <row r="20" spans="1:32" ht="21.75" customHeight="1">
      <c r="A20" s="2">
        <v>10</v>
      </c>
      <c r="B20" s="1" t="s">
        <v>34</v>
      </c>
      <c r="C20" s="1">
        <v>2012</v>
      </c>
      <c r="D20" s="1" t="s">
        <v>40</v>
      </c>
      <c r="E20" s="1">
        <v>5</v>
      </c>
      <c r="F20" s="1">
        <v>5</v>
      </c>
      <c r="G20" s="1" t="s">
        <v>27</v>
      </c>
      <c r="H20" s="1" t="s">
        <v>28</v>
      </c>
      <c r="I20" s="3">
        <v>41045.752488425926</v>
      </c>
      <c r="J20" s="1">
        <v>1</v>
      </c>
      <c r="K20" s="1">
        <v>0</v>
      </c>
      <c r="AF20" s="5"/>
    </row>
    <row r="21" spans="1:32" ht="21.75" customHeight="1">
      <c r="A21" s="2">
        <v>3</v>
      </c>
      <c r="B21" s="1" t="s">
        <v>41</v>
      </c>
      <c r="C21" s="1">
        <v>2012</v>
      </c>
      <c r="D21" s="1" t="s">
        <v>42</v>
      </c>
      <c r="E21" s="1">
        <v>10</v>
      </c>
      <c r="F21" s="1">
        <v>10</v>
      </c>
      <c r="G21" s="1" t="s">
        <v>27</v>
      </c>
      <c r="H21" s="1" t="s">
        <v>28</v>
      </c>
      <c r="I21" s="3">
        <v>40942.62599537037</v>
      </c>
      <c r="J21" s="1">
        <v>1</v>
      </c>
      <c r="K21" s="1">
        <v>0</v>
      </c>
      <c r="AF21" s="5"/>
    </row>
    <row r="22" spans="1:32" ht="21.75" customHeight="1">
      <c r="A22" s="2">
        <v>14</v>
      </c>
      <c r="B22" s="1" t="s">
        <v>31</v>
      </c>
      <c r="C22" s="1">
        <v>2012</v>
      </c>
      <c r="D22" s="1" t="s">
        <v>42</v>
      </c>
      <c r="E22" s="1">
        <v>15</v>
      </c>
      <c r="F22" s="1">
        <v>15</v>
      </c>
      <c r="G22" s="1" t="s">
        <v>27</v>
      </c>
      <c r="H22" s="1" t="s">
        <v>28</v>
      </c>
      <c r="I22" s="3">
        <v>40981.76966435185</v>
      </c>
      <c r="J22" s="1">
        <v>1</v>
      </c>
      <c r="K22" s="1">
        <v>0</v>
      </c>
      <c r="AF22" s="5"/>
    </row>
    <row r="23" spans="1:32" ht="21.75" customHeight="1">
      <c r="A23" s="2">
        <v>29</v>
      </c>
      <c r="B23" s="1" t="s">
        <v>31</v>
      </c>
      <c r="C23" s="1">
        <v>2012</v>
      </c>
      <c r="D23" s="1" t="s">
        <v>42</v>
      </c>
      <c r="E23" s="1">
        <v>20</v>
      </c>
      <c r="F23" s="1">
        <v>20</v>
      </c>
      <c r="G23" s="1" t="s">
        <v>27</v>
      </c>
      <c r="H23" s="1" t="s">
        <v>28</v>
      </c>
      <c r="I23" s="3">
        <v>40997.616296296299</v>
      </c>
      <c r="J23" s="1">
        <v>1</v>
      </c>
      <c r="K23" s="1">
        <v>0</v>
      </c>
    </row>
    <row r="24" spans="1:32" ht="21.75" customHeight="1">
      <c r="A24" s="2">
        <v>18</v>
      </c>
      <c r="B24" s="1" t="s">
        <v>31</v>
      </c>
      <c r="C24" s="1">
        <v>2012</v>
      </c>
      <c r="D24" s="1" t="s">
        <v>42</v>
      </c>
      <c r="E24" s="1">
        <v>1</v>
      </c>
      <c r="F24" s="1">
        <v>1</v>
      </c>
      <c r="G24" s="1" t="s">
        <v>27</v>
      </c>
      <c r="H24" s="1" t="s">
        <v>28</v>
      </c>
      <c r="I24" s="3">
        <v>40987.54959490741</v>
      </c>
      <c r="J24" s="1">
        <v>1</v>
      </c>
      <c r="K24" s="1">
        <v>0</v>
      </c>
    </row>
    <row r="25" spans="1:32" ht="21.75" customHeight="1">
      <c r="A25" s="2">
        <v>3</v>
      </c>
      <c r="B25" s="1" t="s">
        <v>34</v>
      </c>
      <c r="C25" s="1">
        <v>2012</v>
      </c>
      <c r="D25" s="1" t="s">
        <v>42</v>
      </c>
      <c r="E25" s="1">
        <v>2</v>
      </c>
      <c r="F25" s="1">
        <v>2</v>
      </c>
      <c r="G25" s="1" t="s">
        <v>27</v>
      </c>
      <c r="H25" s="1" t="s">
        <v>28</v>
      </c>
      <c r="I25" s="3">
        <v>41033.593275462961</v>
      </c>
      <c r="J25" s="1">
        <v>1</v>
      </c>
      <c r="K25" s="1">
        <v>0</v>
      </c>
    </row>
    <row r="26" spans="1:32" ht="21.75" customHeight="1">
      <c r="A26" s="2">
        <v>16</v>
      </c>
      <c r="B26" s="1" t="s">
        <v>34</v>
      </c>
      <c r="C26" s="1">
        <v>2012</v>
      </c>
      <c r="D26" s="1" t="s">
        <v>42</v>
      </c>
      <c r="E26" s="1">
        <v>10</v>
      </c>
      <c r="F26" s="1">
        <v>10</v>
      </c>
      <c r="G26" s="1" t="s">
        <v>27</v>
      </c>
      <c r="H26" s="1" t="s">
        <v>28</v>
      </c>
      <c r="I26" s="3">
        <v>41047.483449074076</v>
      </c>
      <c r="J26" s="1">
        <v>1</v>
      </c>
      <c r="K26" s="1">
        <v>0</v>
      </c>
    </row>
    <row r="27" spans="1:32" ht="21.75" customHeight="1">
      <c r="A27" s="2">
        <v>26</v>
      </c>
      <c r="B27" s="1" t="s">
        <v>34</v>
      </c>
      <c r="C27" s="1">
        <v>2012</v>
      </c>
      <c r="D27" s="1" t="s">
        <v>42</v>
      </c>
      <c r="E27" s="1">
        <v>4</v>
      </c>
      <c r="F27" s="1">
        <v>4</v>
      </c>
      <c r="G27" s="1" t="s">
        <v>27</v>
      </c>
      <c r="H27" s="1" t="s">
        <v>28</v>
      </c>
      <c r="I27" s="3">
        <v>41054.760474537034</v>
      </c>
      <c r="J27" s="1">
        <v>1</v>
      </c>
      <c r="K27" s="1">
        <v>0</v>
      </c>
    </row>
    <row r="28" spans="1:32" ht="21.75" customHeight="1">
      <c r="A28" s="2">
        <v>27</v>
      </c>
      <c r="B28" s="1" t="s">
        <v>34</v>
      </c>
      <c r="C28" s="1">
        <v>2012</v>
      </c>
      <c r="D28" s="1" t="s">
        <v>42</v>
      </c>
      <c r="E28" s="1">
        <v>1</v>
      </c>
      <c r="F28" s="1">
        <v>1</v>
      </c>
      <c r="G28" s="1" t="s">
        <v>27</v>
      </c>
      <c r="H28" s="1" t="s">
        <v>28</v>
      </c>
      <c r="I28" s="3">
        <v>41055.500949074078</v>
      </c>
      <c r="J28" s="1">
        <v>1</v>
      </c>
      <c r="K28" s="1">
        <v>0</v>
      </c>
    </row>
    <row r="29" spans="1:32" ht="21.75" customHeight="1">
      <c r="A29" s="2">
        <v>14</v>
      </c>
      <c r="B29" s="1" t="s">
        <v>35</v>
      </c>
      <c r="C29" s="1">
        <v>2012</v>
      </c>
      <c r="D29" s="1" t="s">
        <v>42</v>
      </c>
      <c r="E29" s="1">
        <v>15</v>
      </c>
      <c r="F29" s="1">
        <v>15</v>
      </c>
      <c r="G29" s="1" t="s">
        <v>27</v>
      </c>
      <c r="H29" s="1" t="s">
        <v>28</v>
      </c>
      <c r="I29" s="3">
        <v>41073.593946759262</v>
      </c>
      <c r="J29" s="1">
        <v>1</v>
      </c>
      <c r="K29" s="1">
        <v>0</v>
      </c>
    </row>
    <row r="30" spans="1:32" ht="21.75" customHeight="1">
      <c r="A30" s="2">
        <v>21</v>
      </c>
      <c r="B30" s="1" t="s">
        <v>35</v>
      </c>
      <c r="C30" s="1">
        <v>2012</v>
      </c>
      <c r="D30" s="1" t="s">
        <v>42</v>
      </c>
      <c r="E30" s="1">
        <v>40</v>
      </c>
      <c r="F30" s="1">
        <v>40</v>
      </c>
      <c r="G30" s="1" t="s">
        <v>27</v>
      </c>
      <c r="H30" s="1" t="s">
        <v>28</v>
      </c>
      <c r="I30" s="3">
        <v>41085.524155092593</v>
      </c>
      <c r="J30" s="1">
        <v>1</v>
      </c>
      <c r="K30" s="1">
        <v>0</v>
      </c>
    </row>
    <row r="31" spans="1:32" ht="21.75" customHeight="1">
      <c r="A31" s="2">
        <v>27</v>
      </c>
      <c r="B31" s="1" t="s">
        <v>35</v>
      </c>
      <c r="C31" s="1">
        <v>2012</v>
      </c>
      <c r="D31" s="1" t="s">
        <v>42</v>
      </c>
      <c r="E31" s="1">
        <v>2</v>
      </c>
      <c r="F31" s="1">
        <v>2</v>
      </c>
      <c r="G31" s="1" t="s">
        <v>27</v>
      </c>
      <c r="H31" s="1" t="s">
        <v>28</v>
      </c>
      <c r="I31" s="3">
        <v>41088.519467592596</v>
      </c>
      <c r="J31" s="1">
        <v>1</v>
      </c>
      <c r="K31" s="1">
        <v>0</v>
      </c>
    </row>
    <row r="32" spans="1:32" ht="21.75" customHeight="1">
      <c r="A32" s="2">
        <v>19</v>
      </c>
      <c r="B32" s="1" t="s">
        <v>36</v>
      </c>
      <c r="C32" s="1">
        <v>2012</v>
      </c>
      <c r="D32" s="1" t="s">
        <v>42</v>
      </c>
      <c r="E32" s="1">
        <v>12</v>
      </c>
      <c r="F32" s="1">
        <v>12</v>
      </c>
      <c r="G32" s="1" t="s">
        <v>27</v>
      </c>
      <c r="H32" s="1" t="s">
        <v>28</v>
      </c>
      <c r="I32" s="3">
        <v>41109.548333333332</v>
      </c>
      <c r="J32" s="1">
        <v>1</v>
      </c>
      <c r="K32" s="1">
        <v>0</v>
      </c>
    </row>
    <row r="33" spans="1:11" ht="21.75" customHeight="1">
      <c r="A33" s="2">
        <v>22</v>
      </c>
      <c r="B33" s="1" t="s">
        <v>37</v>
      </c>
      <c r="C33" s="1">
        <v>2012</v>
      </c>
      <c r="D33" s="1" t="s">
        <v>42</v>
      </c>
      <c r="E33" s="1">
        <v>15</v>
      </c>
      <c r="F33" s="1">
        <v>15</v>
      </c>
      <c r="G33" s="1" t="s">
        <v>27</v>
      </c>
      <c r="H33" s="1" t="s">
        <v>28</v>
      </c>
      <c r="I33" s="3">
        <v>41143.734224537038</v>
      </c>
      <c r="J33" s="1">
        <v>1</v>
      </c>
      <c r="K33" s="1">
        <v>0</v>
      </c>
    </row>
    <row r="34" spans="1:11" ht="21.75" customHeight="1">
      <c r="A34" s="2">
        <v>15</v>
      </c>
      <c r="B34" s="1" t="s">
        <v>37</v>
      </c>
      <c r="C34" s="1">
        <v>2012</v>
      </c>
      <c r="D34" s="1" t="s">
        <v>42</v>
      </c>
      <c r="E34" s="1">
        <v>1</v>
      </c>
      <c r="F34" s="1">
        <v>1</v>
      </c>
      <c r="G34" s="1" t="s">
        <v>27</v>
      </c>
      <c r="H34" s="1" t="s">
        <v>28</v>
      </c>
      <c r="I34" s="3">
        <v>41136.493622685186</v>
      </c>
      <c r="J34" s="1">
        <v>1</v>
      </c>
      <c r="K34" s="1">
        <v>0</v>
      </c>
    </row>
    <row r="35" spans="1:11" ht="21.75" customHeight="1">
      <c r="A35" s="2">
        <v>18</v>
      </c>
      <c r="B35" s="1" t="s">
        <v>38</v>
      </c>
      <c r="C35" s="1">
        <v>2012</v>
      </c>
      <c r="D35" s="1" t="s">
        <v>42</v>
      </c>
      <c r="E35" s="1">
        <v>20</v>
      </c>
      <c r="F35" s="1">
        <v>20</v>
      </c>
      <c r="G35" s="1" t="s">
        <v>27</v>
      </c>
      <c r="H35" s="1" t="s">
        <v>28</v>
      </c>
      <c r="I35" s="3">
        <v>41170.573194444441</v>
      </c>
      <c r="J35" s="1">
        <v>1</v>
      </c>
      <c r="K35" s="1">
        <v>0</v>
      </c>
    </row>
    <row r="36" spans="1:11" ht="21.75" customHeight="1">
      <c r="A36" s="2">
        <v>9</v>
      </c>
      <c r="B36" s="1" t="s">
        <v>38</v>
      </c>
      <c r="C36" s="1">
        <v>2012</v>
      </c>
      <c r="D36" s="1" t="s">
        <v>42</v>
      </c>
      <c r="E36" s="1">
        <v>6</v>
      </c>
      <c r="F36" s="1">
        <v>6</v>
      </c>
      <c r="G36" s="1" t="s">
        <v>27</v>
      </c>
      <c r="H36" s="1" t="s">
        <v>28</v>
      </c>
      <c r="I36" s="3">
        <v>41165.562372685185</v>
      </c>
      <c r="J36" s="1">
        <v>1</v>
      </c>
      <c r="K36" s="1">
        <v>0</v>
      </c>
    </row>
    <row r="37" spans="1:11" ht="21.75" customHeight="1">
      <c r="A37" s="2">
        <v>12</v>
      </c>
      <c r="B37" s="1" t="s">
        <v>43</v>
      </c>
      <c r="C37" s="1">
        <v>2012</v>
      </c>
      <c r="D37" s="1" t="s">
        <v>42</v>
      </c>
      <c r="E37" s="1">
        <v>20</v>
      </c>
      <c r="F37" s="1">
        <v>20</v>
      </c>
      <c r="G37" s="1" t="s">
        <v>27</v>
      </c>
      <c r="H37" s="1" t="s">
        <v>28</v>
      </c>
      <c r="I37" s="3">
        <v>41198.55678240741</v>
      </c>
      <c r="J37" s="1">
        <v>1</v>
      </c>
      <c r="K37" s="1">
        <v>0</v>
      </c>
    </row>
    <row r="38" spans="1:11" ht="21.75" customHeight="1">
      <c r="A38" s="2">
        <v>13</v>
      </c>
      <c r="B38" s="1" t="s">
        <v>44</v>
      </c>
      <c r="C38" s="1">
        <v>2012</v>
      </c>
      <c r="D38" s="1" t="s">
        <v>42</v>
      </c>
      <c r="E38" s="1">
        <v>15</v>
      </c>
      <c r="F38" s="1">
        <v>15</v>
      </c>
      <c r="G38" s="1" t="s">
        <v>27</v>
      </c>
      <c r="H38" s="1" t="s">
        <v>28</v>
      </c>
      <c r="I38" s="3">
        <v>41227.693437499998</v>
      </c>
      <c r="J38" s="1">
        <v>1</v>
      </c>
      <c r="K38" s="1">
        <v>0</v>
      </c>
    </row>
    <row r="39" spans="1:11" ht="21.75" customHeight="1">
      <c r="A39" s="2">
        <v>5</v>
      </c>
      <c r="B39" s="1" t="s">
        <v>45</v>
      </c>
      <c r="C39" s="1">
        <v>2012</v>
      </c>
      <c r="D39" s="1" t="s">
        <v>42</v>
      </c>
      <c r="E39" s="1">
        <v>40</v>
      </c>
      <c r="F39" s="1">
        <v>40</v>
      </c>
      <c r="G39" s="1" t="s">
        <v>27</v>
      </c>
      <c r="H39" s="1" t="s">
        <v>28</v>
      </c>
      <c r="I39" s="3">
        <v>41248.503761574073</v>
      </c>
      <c r="J39" s="1">
        <v>1</v>
      </c>
      <c r="K39" s="1">
        <v>0</v>
      </c>
    </row>
    <row r="40" spans="1:11" ht="21.75" customHeight="1">
      <c r="A40" s="2">
        <v>8</v>
      </c>
      <c r="B40" s="1" t="s">
        <v>45</v>
      </c>
      <c r="C40" s="1">
        <v>2012</v>
      </c>
      <c r="D40" s="1" t="s">
        <v>42</v>
      </c>
      <c r="E40" s="1">
        <v>80</v>
      </c>
      <c r="F40" s="1">
        <v>80</v>
      </c>
      <c r="G40" s="1" t="s">
        <v>27</v>
      </c>
      <c r="H40" s="1" t="s">
        <v>28</v>
      </c>
      <c r="I40" s="3">
        <v>41253.62300925926</v>
      </c>
      <c r="J40" s="1">
        <v>1</v>
      </c>
      <c r="K40" s="1">
        <v>0</v>
      </c>
    </row>
    <row r="41" spans="1:11" ht="21.75" customHeight="1">
      <c r="A41" s="2">
        <v>13</v>
      </c>
      <c r="B41" s="1" t="s">
        <v>45</v>
      </c>
      <c r="C41" s="1">
        <v>2012</v>
      </c>
      <c r="D41" s="1" t="s">
        <v>42</v>
      </c>
      <c r="E41" s="1">
        <v>120</v>
      </c>
      <c r="F41" s="1">
        <v>120</v>
      </c>
      <c r="G41" s="1" t="s">
        <v>27</v>
      </c>
      <c r="H41" s="1" t="s">
        <v>28</v>
      </c>
      <c r="I41" s="3">
        <v>41255.66983796296</v>
      </c>
      <c r="J41" s="1">
        <v>1</v>
      </c>
      <c r="K41" s="1">
        <v>0</v>
      </c>
    </row>
    <row r="42" spans="1:11" ht="21.75" customHeight="1">
      <c r="A42" s="2">
        <v>18</v>
      </c>
      <c r="B42" s="1" t="s">
        <v>45</v>
      </c>
      <c r="C42" s="1">
        <v>2012</v>
      </c>
      <c r="D42" s="1" t="s">
        <v>42</v>
      </c>
      <c r="E42" s="1">
        <v>15</v>
      </c>
      <c r="F42" s="1">
        <v>15</v>
      </c>
      <c r="G42" s="1" t="s">
        <v>27</v>
      </c>
      <c r="H42" s="1" t="s">
        <v>28</v>
      </c>
      <c r="I42" s="3">
        <v>41261.798657407409</v>
      </c>
      <c r="J42" s="1">
        <v>1</v>
      </c>
      <c r="K42" s="1">
        <v>0</v>
      </c>
    </row>
    <row r="43" spans="1:11" ht="21.75" customHeight="1">
      <c r="A43" s="2">
        <v>20</v>
      </c>
      <c r="B43" s="1" t="s">
        <v>45</v>
      </c>
      <c r="C43" s="1">
        <v>2012</v>
      </c>
      <c r="D43" s="1" t="s">
        <v>42</v>
      </c>
      <c r="E43" s="1">
        <v>48</v>
      </c>
      <c r="F43" s="1">
        <v>48</v>
      </c>
      <c r="G43" s="1" t="s">
        <v>27</v>
      </c>
      <c r="H43" s="1" t="s">
        <v>33</v>
      </c>
      <c r="I43" s="3">
        <v>41262.672731481478</v>
      </c>
      <c r="J43" s="1">
        <v>1</v>
      </c>
      <c r="K43" s="1">
        <v>0</v>
      </c>
    </row>
    <row r="44" spans="1:11" ht="21.75" customHeight="1">
      <c r="A44" s="2">
        <v>19</v>
      </c>
      <c r="B44" s="1" t="s">
        <v>31</v>
      </c>
      <c r="C44" s="1">
        <v>2012</v>
      </c>
      <c r="D44" s="1" t="s">
        <v>42</v>
      </c>
      <c r="E44" s="1">
        <v>2</v>
      </c>
      <c r="F44" s="1">
        <v>2</v>
      </c>
      <c r="G44" s="1" t="s">
        <v>27</v>
      </c>
      <c r="H44" s="1" t="s">
        <v>28</v>
      </c>
      <c r="I44" s="3">
        <v>40987.465613425928</v>
      </c>
      <c r="J44" s="1">
        <v>1</v>
      </c>
      <c r="K44" s="1">
        <v>0</v>
      </c>
    </row>
    <row r="45" spans="1:11" ht="21.75" customHeight="1">
      <c r="A45" s="2">
        <v>27</v>
      </c>
      <c r="B45" s="1" t="s">
        <v>34</v>
      </c>
      <c r="C45" s="1">
        <v>2012</v>
      </c>
      <c r="D45" s="1" t="s">
        <v>42</v>
      </c>
      <c r="E45" s="1">
        <v>1</v>
      </c>
      <c r="F45" s="1">
        <v>1</v>
      </c>
      <c r="G45" s="1" t="s">
        <v>27</v>
      </c>
      <c r="H45" s="1" t="s">
        <v>28</v>
      </c>
      <c r="I45" s="3">
        <v>41055.501331018517</v>
      </c>
      <c r="J45" s="1">
        <v>1</v>
      </c>
      <c r="K45" s="1">
        <v>0</v>
      </c>
    </row>
    <row r="46" spans="1:11" ht="21.75" customHeight="1">
      <c r="A46" s="2">
        <v>9</v>
      </c>
      <c r="B46" s="1" t="s">
        <v>37</v>
      </c>
      <c r="C46" s="1">
        <v>2012</v>
      </c>
      <c r="D46" s="1" t="s">
        <v>42</v>
      </c>
      <c r="E46" s="1">
        <v>15</v>
      </c>
      <c r="F46" s="1">
        <v>15</v>
      </c>
      <c r="G46" s="1" t="s">
        <v>27</v>
      </c>
      <c r="H46" s="1" t="s">
        <v>28</v>
      </c>
      <c r="I46" s="3">
        <v>41130.490891203706</v>
      </c>
      <c r="J46" s="1">
        <v>1</v>
      </c>
      <c r="K46" s="1">
        <v>0</v>
      </c>
    </row>
    <row r="47" spans="1:11" ht="21.75" customHeight="1">
      <c r="A47" s="2">
        <v>17</v>
      </c>
      <c r="B47" s="1" t="s">
        <v>34</v>
      </c>
      <c r="C47" s="1">
        <v>2012</v>
      </c>
      <c r="D47" s="1" t="s">
        <v>42</v>
      </c>
      <c r="E47" s="1">
        <v>1</v>
      </c>
      <c r="F47" s="1">
        <v>1</v>
      </c>
      <c r="G47" s="1" t="s">
        <v>27</v>
      </c>
      <c r="H47" s="1" t="s">
        <v>28</v>
      </c>
      <c r="I47" s="3">
        <v>41046.505324074074</v>
      </c>
      <c r="J47" s="1">
        <v>1</v>
      </c>
      <c r="K47" s="1">
        <v>0</v>
      </c>
    </row>
    <row r="48" spans="1:11" ht="21.75" customHeight="1">
      <c r="A48" s="2">
        <v>14</v>
      </c>
      <c r="B48" s="1" t="s">
        <v>38</v>
      </c>
      <c r="C48" s="1">
        <v>2012</v>
      </c>
      <c r="D48" s="1" t="s">
        <v>42</v>
      </c>
      <c r="E48" s="1">
        <v>15</v>
      </c>
      <c r="F48" s="1">
        <v>15</v>
      </c>
      <c r="G48" s="1" t="s">
        <v>27</v>
      </c>
      <c r="H48" s="1" t="s">
        <v>28</v>
      </c>
      <c r="I48" s="3">
        <v>41166.694143518522</v>
      </c>
      <c r="J48" s="1">
        <v>1</v>
      </c>
      <c r="K48" s="1">
        <v>0</v>
      </c>
    </row>
    <row r="49" spans="1:11" ht="21.75" customHeight="1">
      <c r="A49" s="2">
        <v>31</v>
      </c>
      <c r="B49" s="1" t="s">
        <v>32</v>
      </c>
      <c r="C49" s="1">
        <v>2012</v>
      </c>
      <c r="D49" s="1" t="s">
        <v>42</v>
      </c>
      <c r="E49" s="1">
        <v>12</v>
      </c>
      <c r="F49" s="1">
        <v>12</v>
      </c>
      <c r="G49" s="1" t="s">
        <v>27</v>
      </c>
      <c r="H49" s="1" t="s">
        <v>28</v>
      </c>
      <c r="I49" s="3">
        <v>41031.514467592591</v>
      </c>
      <c r="J49" s="1">
        <v>1</v>
      </c>
      <c r="K49" s="1">
        <v>0</v>
      </c>
    </row>
    <row r="50" spans="1:11" ht="21.75" customHeight="1">
      <c r="A50" s="2">
        <v>17</v>
      </c>
      <c r="B50" s="1" t="s">
        <v>36</v>
      </c>
      <c r="C50" s="1">
        <v>2012</v>
      </c>
      <c r="D50" s="1" t="s">
        <v>42</v>
      </c>
      <c r="E50" s="1">
        <v>1</v>
      </c>
      <c r="F50" s="1">
        <v>0</v>
      </c>
      <c r="G50" s="1" t="s">
        <v>27</v>
      </c>
      <c r="H50" s="1" t="s">
        <v>33</v>
      </c>
      <c r="I50" s="3">
        <v>41106.640659722223</v>
      </c>
      <c r="J50" s="1">
        <v>1</v>
      </c>
      <c r="K50" s="1">
        <v>0</v>
      </c>
    </row>
    <row r="51" spans="1:11" ht="21.75" customHeight="1">
      <c r="A51" s="2">
        <v>17</v>
      </c>
      <c r="B51" s="1" t="s">
        <v>43</v>
      </c>
      <c r="C51" s="1">
        <v>2012</v>
      </c>
      <c r="D51" s="1" t="s">
        <v>42</v>
      </c>
      <c r="E51" s="1">
        <v>1</v>
      </c>
      <c r="F51" s="1">
        <v>1</v>
      </c>
      <c r="G51" s="1" t="s">
        <v>27</v>
      </c>
      <c r="H51" s="1" t="s">
        <v>33</v>
      </c>
      <c r="I51" s="3">
        <v>41199.628541666665</v>
      </c>
      <c r="J51" s="1">
        <v>1</v>
      </c>
      <c r="K51" s="1">
        <v>0</v>
      </c>
    </row>
    <row r="52" spans="1:11" ht="21.75" customHeight="1">
      <c r="A52" s="2">
        <v>20</v>
      </c>
      <c r="B52" s="1" t="s">
        <v>45</v>
      </c>
      <c r="C52" s="1">
        <v>2012</v>
      </c>
      <c r="D52" s="1" t="s">
        <v>42</v>
      </c>
      <c r="E52" s="1">
        <v>72</v>
      </c>
      <c r="F52" s="1">
        <v>0</v>
      </c>
      <c r="G52" s="1" t="s">
        <v>27</v>
      </c>
      <c r="H52" s="1" t="s">
        <v>33</v>
      </c>
      <c r="I52" s="3">
        <v>41262.672731481478</v>
      </c>
      <c r="J52" s="1">
        <v>0</v>
      </c>
      <c r="K52" s="1">
        <v>2</v>
      </c>
    </row>
    <row r="53" spans="1:11" ht="21.75" customHeight="1">
      <c r="A53" s="2">
        <v>7</v>
      </c>
      <c r="B53" s="1" t="s">
        <v>38</v>
      </c>
      <c r="C53" s="1">
        <v>2012</v>
      </c>
      <c r="D53" s="1" t="s">
        <v>29</v>
      </c>
      <c r="E53" s="1">
        <v>200</v>
      </c>
      <c r="F53" s="1">
        <v>200</v>
      </c>
      <c r="G53" s="1" t="s">
        <v>30</v>
      </c>
      <c r="H53" s="1" t="s">
        <v>28</v>
      </c>
      <c r="I53" s="3">
        <v>41162.609791666669</v>
      </c>
      <c r="J53" s="1">
        <v>1</v>
      </c>
      <c r="K53" s="1">
        <v>0</v>
      </c>
    </row>
    <row r="54" spans="1:11" ht="21.75" customHeight="1">
      <c r="A54" s="2">
        <v>14</v>
      </c>
      <c r="B54" s="1" t="s">
        <v>38</v>
      </c>
      <c r="C54" s="1">
        <v>2012</v>
      </c>
      <c r="D54" s="1" t="s">
        <v>29</v>
      </c>
      <c r="E54" s="1">
        <v>200</v>
      </c>
      <c r="F54" s="1">
        <v>0</v>
      </c>
      <c r="G54" s="1" t="s">
        <v>30</v>
      </c>
      <c r="H54" s="1" t="s">
        <v>33</v>
      </c>
      <c r="I54" s="3">
        <v>41166.508414351854</v>
      </c>
      <c r="J54" s="1">
        <v>1</v>
      </c>
      <c r="K54" s="1">
        <v>0</v>
      </c>
    </row>
    <row r="55" spans="1:11" ht="21.75" customHeight="1">
      <c r="A55" s="2">
        <v>17</v>
      </c>
      <c r="B55" s="1" t="s">
        <v>43</v>
      </c>
      <c r="C55" s="1">
        <v>2012</v>
      </c>
      <c r="D55" s="1" t="s">
        <v>29</v>
      </c>
      <c r="E55" s="1">
        <v>100</v>
      </c>
      <c r="F55" s="1">
        <v>100</v>
      </c>
      <c r="G55" s="1" t="s">
        <v>30</v>
      </c>
      <c r="H55" s="1" t="s">
        <v>28</v>
      </c>
      <c r="I55" s="3">
        <v>41198.64402777778</v>
      </c>
      <c r="J55" s="1">
        <v>1</v>
      </c>
      <c r="K55" s="1">
        <v>0</v>
      </c>
    </row>
    <row r="56" spans="1:11" ht="21.75" customHeight="1">
      <c r="A56" s="2">
        <v>14</v>
      </c>
      <c r="B56" s="1" t="s">
        <v>44</v>
      </c>
      <c r="C56" s="1">
        <v>2012</v>
      </c>
      <c r="D56" s="1" t="s">
        <v>29</v>
      </c>
      <c r="E56" s="1">
        <v>1000</v>
      </c>
      <c r="F56" s="1">
        <v>1000</v>
      </c>
      <c r="G56" s="1" t="s">
        <v>30</v>
      </c>
      <c r="H56" s="1" t="s">
        <v>28</v>
      </c>
      <c r="I56" s="3">
        <v>41227.556504629632</v>
      </c>
      <c r="J56" s="1">
        <v>1</v>
      </c>
      <c r="K56" s="1">
        <v>0</v>
      </c>
    </row>
    <row r="57" spans="1:11" ht="21.75" customHeight="1">
      <c r="A57" s="2">
        <v>21</v>
      </c>
      <c r="B57" s="1" t="s">
        <v>44</v>
      </c>
      <c r="C57" s="1">
        <v>2012</v>
      </c>
      <c r="D57" s="1" t="s">
        <v>29</v>
      </c>
      <c r="E57" s="1">
        <v>20</v>
      </c>
      <c r="F57" s="1">
        <v>20</v>
      </c>
      <c r="G57" s="1" t="s">
        <v>30</v>
      </c>
      <c r="H57" s="1" t="s">
        <v>28</v>
      </c>
      <c r="I57" s="3">
        <v>41234.418182870373</v>
      </c>
      <c r="J57" s="1">
        <v>1</v>
      </c>
      <c r="K57" s="1">
        <v>0</v>
      </c>
    </row>
    <row r="58" spans="1:11" ht="21.75" customHeight="1">
      <c r="A58" s="2">
        <v>14</v>
      </c>
      <c r="B58" s="1" t="s">
        <v>45</v>
      </c>
      <c r="C58" s="1">
        <v>2012</v>
      </c>
      <c r="D58" s="1" t="s">
        <v>29</v>
      </c>
      <c r="E58" s="1">
        <v>100</v>
      </c>
      <c r="F58" s="1">
        <v>100</v>
      </c>
      <c r="G58" s="1" t="s">
        <v>30</v>
      </c>
      <c r="H58" s="1" t="s">
        <v>28</v>
      </c>
      <c r="I58" s="3">
        <v>41257.49627314815</v>
      </c>
      <c r="J58" s="1">
        <v>1</v>
      </c>
      <c r="K58" s="1">
        <v>0</v>
      </c>
    </row>
    <row r="59" spans="1:11" ht="21.75" customHeight="1">
      <c r="A59" s="2">
        <v>20</v>
      </c>
      <c r="B59" s="1" t="s">
        <v>25</v>
      </c>
      <c r="C59" s="1">
        <v>2012</v>
      </c>
      <c r="D59" s="1" t="s">
        <v>29</v>
      </c>
      <c r="E59" s="1">
        <v>50</v>
      </c>
      <c r="F59" s="1">
        <v>50</v>
      </c>
      <c r="G59" s="1" t="s">
        <v>30</v>
      </c>
      <c r="H59" s="1" t="s">
        <v>28</v>
      </c>
      <c r="I59" s="3">
        <v>40931.420868055553</v>
      </c>
      <c r="J59" s="1">
        <v>1</v>
      </c>
      <c r="K59" s="1">
        <v>0</v>
      </c>
    </row>
    <row r="60" spans="1:11" ht="21.75" customHeight="1">
      <c r="A60" s="2">
        <v>21</v>
      </c>
      <c r="B60" s="1" t="s">
        <v>25</v>
      </c>
      <c r="C60" s="1">
        <v>2012</v>
      </c>
      <c r="D60" s="1" t="s">
        <v>29</v>
      </c>
      <c r="E60" s="1">
        <v>200</v>
      </c>
      <c r="F60" s="1">
        <v>200</v>
      </c>
      <c r="G60" s="1" t="s">
        <v>30</v>
      </c>
      <c r="H60" s="1" t="s">
        <v>28</v>
      </c>
      <c r="I60" s="3">
        <v>40931.3591087963</v>
      </c>
      <c r="J60" s="1">
        <v>1</v>
      </c>
      <c r="K60" s="1">
        <v>0</v>
      </c>
    </row>
    <row r="61" spans="1:11" ht="21.75" customHeight="1">
      <c r="A61" s="2">
        <v>26</v>
      </c>
      <c r="B61" s="1" t="s">
        <v>25</v>
      </c>
      <c r="C61" s="1">
        <v>2012</v>
      </c>
      <c r="D61" s="1" t="s">
        <v>29</v>
      </c>
      <c r="E61" s="1">
        <v>50</v>
      </c>
      <c r="F61" s="1">
        <v>50</v>
      </c>
      <c r="G61" s="1" t="s">
        <v>30</v>
      </c>
      <c r="H61" s="1" t="s">
        <v>28</v>
      </c>
      <c r="I61" s="3">
        <v>40934.472743055558</v>
      </c>
      <c r="J61" s="1">
        <v>1</v>
      </c>
      <c r="K61" s="1">
        <v>0</v>
      </c>
    </row>
    <row r="62" spans="1:11" ht="21.75" customHeight="1">
      <c r="A62" s="2">
        <v>28</v>
      </c>
      <c r="B62" s="1" t="s">
        <v>41</v>
      </c>
      <c r="C62" s="1">
        <v>2012</v>
      </c>
      <c r="D62" s="1" t="s">
        <v>29</v>
      </c>
      <c r="E62" s="1">
        <v>30</v>
      </c>
      <c r="F62" s="1">
        <v>30</v>
      </c>
      <c r="G62" s="1" t="s">
        <v>30</v>
      </c>
      <c r="H62" s="1" t="s">
        <v>28</v>
      </c>
      <c r="I62" s="3">
        <v>40967.334814814814</v>
      </c>
      <c r="J62" s="1">
        <v>1</v>
      </c>
      <c r="K62" s="1">
        <v>0</v>
      </c>
    </row>
    <row r="63" spans="1:11" ht="21.75" customHeight="1">
      <c r="A63" s="2">
        <v>16</v>
      </c>
      <c r="B63" s="1" t="s">
        <v>31</v>
      </c>
      <c r="C63" s="1">
        <v>2012</v>
      </c>
      <c r="D63" s="1" t="s">
        <v>29</v>
      </c>
      <c r="E63" s="1">
        <v>50</v>
      </c>
      <c r="F63" s="1">
        <v>50</v>
      </c>
      <c r="G63" s="1" t="s">
        <v>30</v>
      </c>
      <c r="H63" s="1" t="s">
        <v>28</v>
      </c>
      <c r="I63" s="3">
        <v>40984.729201388887</v>
      </c>
      <c r="J63" s="1">
        <v>1</v>
      </c>
      <c r="K63" s="1">
        <v>0</v>
      </c>
    </row>
    <row r="64" spans="1:11" ht="21.75" customHeight="1">
      <c r="A64" s="2">
        <v>26</v>
      </c>
      <c r="B64" s="1" t="s">
        <v>32</v>
      </c>
      <c r="C64" s="1">
        <v>2012</v>
      </c>
      <c r="D64" s="1" t="s">
        <v>29</v>
      </c>
      <c r="E64" s="1">
        <v>200</v>
      </c>
      <c r="F64" s="1">
        <v>200</v>
      </c>
      <c r="G64" s="1" t="s">
        <v>30</v>
      </c>
      <c r="H64" s="1" t="s">
        <v>33</v>
      </c>
      <c r="I64" s="3">
        <v>41024.640949074077</v>
      </c>
      <c r="J64" s="1">
        <v>1</v>
      </c>
      <c r="K64" s="1">
        <v>0</v>
      </c>
    </row>
    <row r="65" spans="1:11" ht="21.75" customHeight="1">
      <c r="A65" s="2">
        <v>19</v>
      </c>
      <c r="B65" s="1" t="s">
        <v>34</v>
      </c>
      <c r="C65" s="1">
        <v>2012</v>
      </c>
      <c r="D65" s="1" t="s">
        <v>29</v>
      </c>
      <c r="E65" s="1">
        <v>2</v>
      </c>
      <c r="F65" s="1">
        <v>2</v>
      </c>
      <c r="G65" s="1" t="s">
        <v>30</v>
      </c>
      <c r="H65" s="1" t="s">
        <v>28</v>
      </c>
      <c r="I65" s="3">
        <v>41047.67391203704</v>
      </c>
      <c r="J65" s="1">
        <v>1</v>
      </c>
      <c r="K65" s="1">
        <v>0</v>
      </c>
    </row>
    <row r="66" spans="1:11" ht="21.75" customHeight="1">
      <c r="A66" s="2">
        <v>16</v>
      </c>
      <c r="B66" s="1" t="s">
        <v>35</v>
      </c>
      <c r="C66" s="1">
        <v>2012</v>
      </c>
      <c r="D66" s="1" t="s">
        <v>29</v>
      </c>
      <c r="E66" s="1">
        <v>1</v>
      </c>
      <c r="F66" s="1">
        <v>1</v>
      </c>
      <c r="G66" s="1" t="s">
        <v>30</v>
      </c>
      <c r="H66" s="1" t="s">
        <v>33</v>
      </c>
      <c r="I66" s="3">
        <v>41078.410868055558</v>
      </c>
      <c r="J66" s="1">
        <v>1</v>
      </c>
      <c r="K66" s="1">
        <v>0</v>
      </c>
    </row>
    <row r="67" spans="1:11" ht="21.75" customHeight="1">
      <c r="A67" s="2">
        <v>24</v>
      </c>
      <c r="B67" s="1" t="s">
        <v>37</v>
      </c>
      <c r="C67" s="1">
        <v>2012</v>
      </c>
      <c r="D67" s="1" t="s">
        <v>29</v>
      </c>
      <c r="E67" s="1">
        <v>100</v>
      </c>
      <c r="F67" s="1">
        <v>100</v>
      </c>
      <c r="G67" s="1" t="s">
        <v>30</v>
      </c>
      <c r="H67" s="1" t="s">
        <v>28</v>
      </c>
      <c r="I67" s="3">
        <v>41148.45275462963</v>
      </c>
      <c r="J67" s="1">
        <v>1</v>
      </c>
      <c r="K67" s="1">
        <v>0</v>
      </c>
    </row>
    <row r="68" spans="1:11" ht="21.75" customHeight="1">
      <c r="A68" s="2">
        <v>4</v>
      </c>
      <c r="B68" s="1" t="s">
        <v>38</v>
      </c>
      <c r="C68" s="1">
        <v>2012</v>
      </c>
      <c r="D68" s="1" t="s">
        <v>29</v>
      </c>
      <c r="E68" s="1">
        <v>20</v>
      </c>
      <c r="F68" s="1">
        <v>20</v>
      </c>
      <c r="G68" s="1" t="s">
        <v>30</v>
      </c>
      <c r="H68" s="1" t="s">
        <v>28</v>
      </c>
      <c r="I68" s="3">
        <v>41156.612662037034</v>
      </c>
      <c r="J68" s="1">
        <v>1</v>
      </c>
      <c r="K68" s="1">
        <v>0</v>
      </c>
    </row>
    <row r="69" spans="1:11" ht="21.75" customHeight="1">
      <c r="A69" s="2">
        <v>25</v>
      </c>
      <c r="B69" s="1" t="s">
        <v>38</v>
      </c>
      <c r="C69" s="1">
        <v>2012</v>
      </c>
      <c r="D69" s="1" t="s">
        <v>29</v>
      </c>
      <c r="E69" s="1">
        <v>25</v>
      </c>
      <c r="F69" s="1">
        <v>25</v>
      </c>
      <c r="G69" s="1" t="s">
        <v>30</v>
      </c>
      <c r="H69" s="1" t="s">
        <v>33</v>
      </c>
      <c r="I69" s="3">
        <v>41177.721226851849</v>
      </c>
      <c r="J69" s="1">
        <v>1</v>
      </c>
      <c r="K69" s="1">
        <v>0</v>
      </c>
    </row>
    <row r="70" spans="1:11" ht="21.75" customHeight="1">
      <c r="A70" s="2">
        <v>30</v>
      </c>
      <c r="B70" s="1" t="s">
        <v>38</v>
      </c>
      <c r="C70" s="1">
        <v>2012</v>
      </c>
      <c r="D70" s="1" t="s">
        <v>29</v>
      </c>
      <c r="E70" s="1">
        <v>50</v>
      </c>
      <c r="F70" s="1">
        <v>50</v>
      </c>
      <c r="G70" s="1" t="s">
        <v>30</v>
      </c>
      <c r="H70" s="1" t="s">
        <v>28</v>
      </c>
      <c r="I70" s="3">
        <v>41185.520173611112</v>
      </c>
      <c r="J70" s="1">
        <v>1</v>
      </c>
      <c r="K70" s="1">
        <v>0</v>
      </c>
    </row>
    <row r="71" spans="1:11" ht="21.75" customHeight="1">
      <c r="A71" s="2">
        <v>22</v>
      </c>
      <c r="B71" s="1" t="s">
        <v>45</v>
      </c>
      <c r="C71" s="1">
        <v>2012</v>
      </c>
      <c r="D71" s="1" t="s">
        <v>29</v>
      </c>
      <c r="E71" s="1">
        <v>1498</v>
      </c>
      <c r="F71" s="1">
        <v>1498</v>
      </c>
      <c r="G71" s="1" t="s">
        <v>30</v>
      </c>
      <c r="H71" s="1" t="s">
        <v>33</v>
      </c>
      <c r="I71" s="3">
        <v>41269.535833333335</v>
      </c>
      <c r="J71" s="1">
        <v>1</v>
      </c>
      <c r="K71" s="1">
        <v>0</v>
      </c>
    </row>
    <row r="72" spans="1:11" ht="21.75" customHeight="1">
      <c r="A72" s="2">
        <v>9</v>
      </c>
      <c r="B72" s="1" t="s">
        <v>34</v>
      </c>
      <c r="C72" s="1">
        <v>2012</v>
      </c>
      <c r="D72" s="1" t="s">
        <v>29</v>
      </c>
      <c r="E72" s="1">
        <v>1000</v>
      </c>
      <c r="F72" s="1">
        <v>1000</v>
      </c>
      <c r="G72" s="1" t="s">
        <v>30</v>
      </c>
      <c r="H72" s="1" t="s">
        <v>28</v>
      </c>
      <c r="I72" s="3">
        <v>41039.764918981484</v>
      </c>
      <c r="J72" s="1">
        <v>1</v>
      </c>
      <c r="K72" s="1">
        <v>0</v>
      </c>
    </row>
    <row r="73" spans="1:11" ht="21.75" customHeight="1">
      <c r="A73" s="2">
        <v>4</v>
      </c>
      <c r="B73" s="1" t="s">
        <v>37</v>
      </c>
      <c r="C73" s="1">
        <v>2012</v>
      </c>
      <c r="D73" s="1" t="s">
        <v>29</v>
      </c>
      <c r="E73" s="1">
        <v>50</v>
      </c>
      <c r="F73" s="1">
        <v>50</v>
      </c>
      <c r="G73" s="1" t="s">
        <v>30</v>
      </c>
      <c r="H73" s="1" t="s">
        <v>28</v>
      </c>
      <c r="I73" s="3">
        <v>41127.430659722224</v>
      </c>
      <c r="J73" s="1">
        <v>1</v>
      </c>
      <c r="K73" s="1">
        <v>0</v>
      </c>
    </row>
    <row r="74" spans="1:11" ht="21.75" customHeight="1">
      <c r="A74" s="2">
        <v>9</v>
      </c>
      <c r="B74" s="1" t="s">
        <v>44</v>
      </c>
      <c r="C74" s="1">
        <v>2012</v>
      </c>
      <c r="D74" s="1" t="s">
        <v>29</v>
      </c>
      <c r="E74" s="1">
        <v>20</v>
      </c>
      <c r="F74" s="1">
        <v>20</v>
      </c>
      <c r="G74" s="1" t="s">
        <v>30</v>
      </c>
      <c r="H74" s="1" t="s">
        <v>28</v>
      </c>
      <c r="I74" s="3">
        <v>41221.504421296297</v>
      </c>
      <c r="J74" s="1">
        <v>1</v>
      </c>
      <c r="K74" s="1">
        <v>0</v>
      </c>
    </row>
    <row r="75" spans="1:11" ht="21.75" customHeight="1">
      <c r="A75" s="2">
        <v>4</v>
      </c>
      <c r="B75" s="1" t="s">
        <v>45</v>
      </c>
      <c r="C75" s="1">
        <v>2012</v>
      </c>
      <c r="D75" s="1" t="s">
        <v>29</v>
      </c>
      <c r="E75" s="1">
        <v>500</v>
      </c>
      <c r="F75" s="1">
        <v>500</v>
      </c>
      <c r="G75" s="1" t="s">
        <v>30</v>
      </c>
      <c r="H75" s="1" t="s">
        <v>28</v>
      </c>
      <c r="I75" s="3">
        <v>41247.643553240741</v>
      </c>
      <c r="J75" s="1">
        <v>1</v>
      </c>
      <c r="K75" s="1">
        <v>0</v>
      </c>
    </row>
    <row r="76" spans="1:11" ht="21.75" customHeight="1">
      <c r="A76" s="2">
        <v>7</v>
      </c>
      <c r="B76" s="1" t="s">
        <v>25</v>
      </c>
      <c r="C76" s="1">
        <v>2012</v>
      </c>
      <c r="D76" s="1" t="s">
        <v>29</v>
      </c>
      <c r="E76" s="1">
        <v>1500</v>
      </c>
      <c r="F76" s="1">
        <v>1500</v>
      </c>
      <c r="G76" s="1" t="s">
        <v>30</v>
      </c>
      <c r="H76" s="1" t="s">
        <v>28</v>
      </c>
      <c r="I76" s="3">
        <v>40918.469259259262</v>
      </c>
      <c r="J76" s="1">
        <v>1</v>
      </c>
      <c r="K76" s="1">
        <v>0</v>
      </c>
    </row>
    <row r="77" spans="1:11" ht="21.75" customHeight="1">
      <c r="A77" s="2">
        <v>7</v>
      </c>
      <c r="B77" s="1" t="s">
        <v>44</v>
      </c>
      <c r="C77" s="1">
        <v>2012</v>
      </c>
      <c r="D77" s="1" t="s">
        <v>29</v>
      </c>
      <c r="E77" s="1">
        <v>500</v>
      </c>
      <c r="F77" s="1">
        <v>500</v>
      </c>
      <c r="G77" s="1" t="s">
        <v>30</v>
      </c>
      <c r="H77" s="1" t="s">
        <v>28</v>
      </c>
      <c r="I77" s="3">
        <v>41220.472905092596</v>
      </c>
      <c r="J77" s="1">
        <v>1</v>
      </c>
      <c r="K77" s="1">
        <v>0</v>
      </c>
    </row>
    <row r="78" spans="1:11" ht="21.75" customHeight="1">
      <c r="A78" s="2">
        <v>19</v>
      </c>
      <c r="B78" s="1" t="s">
        <v>34</v>
      </c>
      <c r="C78" s="1">
        <v>2012</v>
      </c>
      <c r="D78" s="1" t="s">
        <v>29</v>
      </c>
      <c r="E78" s="1">
        <v>98</v>
      </c>
      <c r="F78" s="1">
        <v>98</v>
      </c>
      <c r="G78" s="1" t="s">
        <v>30</v>
      </c>
      <c r="H78" s="1" t="s">
        <v>28</v>
      </c>
      <c r="I78" s="3">
        <v>41047.67391203704</v>
      </c>
      <c r="J78" s="1">
        <v>0</v>
      </c>
      <c r="K78" s="1">
        <v>2</v>
      </c>
    </row>
    <row r="79" spans="1:11" ht="21.75" customHeight="1">
      <c r="A79" s="2">
        <v>25</v>
      </c>
      <c r="B79" s="1" t="s">
        <v>38</v>
      </c>
      <c r="C79" s="1">
        <v>2012</v>
      </c>
      <c r="D79" s="1" t="s">
        <v>29</v>
      </c>
      <c r="E79" s="1">
        <v>25</v>
      </c>
      <c r="F79" s="1">
        <v>0</v>
      </c>
      <c r="G79" s="1" t="s">
        <v>30</v>
      </c>
      <c r="H79" s="1" t="s">
        <v>33</v>
      </c>
      <c r="I79" s="3">
        <v>41177.721226851849</v>
      </c>
      <c r="J79" s="1">
        <v>0</v>
      </c>
      <c r="K79" s="1">
        <v>2</v>
      </c>
    </row>
    <row r="80" spans="1:11" ht="21.75" customHeight="1">
      <c r="A80" s="2">
        <v>22</v>
      </c>
      <c r="B80" s="1" t="s">
        <v>45</v>
      </c>
      <c r="C80" s="1">
        <v>2012</v>
      </c>
      <c r="D80" s="1" t="s">
        <v>29</v>
      </c>
      <c r="E80" s="1">
        <v>2</v>
      </c>
      <c r="F80" s="1">
        <v>2</v>
      </c>
      <c r="G80" s="1" t="s">
        <v>30</v>
      </c>
      <c r="H80" s="1" t="s">
        <v>33</v>
      </c>
      <c r="I80" s="3">
        <v>41269.535833333335</v>
      </c>
      <c r="J80" s="1">
        <v>0</v>
      </c>
      <c r="K80" s="1">
        <v>2</v>
      </c>
    </row>
    <row r="81" spans="1:11" ht="21.75" customHeight="1">
      <c r="A81" s="2">
        <v>6</v>
      </c>
      <c r="B81" s="1" t="s">
        <v>25</v>
      </c>
      <c r="C81" s="1">
        <v>2012</v>
      </c>
      <c r="D81" s="1" t="s">
        <v>46</v>
      </c>
      <c r="E81" s="1">
        <v>150</v>
      </c>
      <c r="F81" s="1">
        <v>150</v>
      </c>
      <c r="G81" s="1" t="s">
        <v>27</v>
      </c>
      <c r="H81" s="1" t="s">
        <v>33</v>
      </c>
      <c r="I81" s="3">
        <v>40914.357916666668</v>
      </c>
      <c r="J81" s="1">
        <v>1</v>
      </c>
      <c r="K81" s="1">
        <v>0</v>
      </c>
    </row>
    <row r="82" spans="1:11" ht="21.75" customHeight="1">
      <c r="A82" s="2">
        <v>6</v>
      </c>
      <c r="B82" s="1" t="s">
        <v>25</v>
      </c>
      <c r="C82" s="1">
        <v>2012</v>
      </c>
      <c r="D82" s="1" t="s">
        <v>46</v>
      </c>
      <c r="E82" s="1">
        <v>100</v>
      </c>
      <c r="F82" s="1">
        <v>100</v>
      </c>
      <c r="G82" s="1" t="s">
        <v>27</v>
      </c>
      <c r="H82" s="1" t="s">
        <v>28</v>
      </c>
      <c r="I82" s="3">
        <v>40914.363078703704</v>
      </c>
      <c r="J82" s="1">
        <v>1</v>
      </c>
      <c r="K82" s="1">
        <v>0</v>
      </c>
    </row>
    <row r="83" spans="1:11" ht="21.75" customHeight="1">
      <c r="A83" s="2">
        <v>7</v>
      </c>
      <c r="B83" s="1" t="s">
        <v>25</v>
      </c>
      <c r="C83" s="1">
        <v>2012</v>
      </c>
      <c r="D83" s="1" t="s">
        <v>46</v>
      </c>
      <c r="E83" s="1">
        <v>170</v>
      </c>
      <c r="F83" s="1">
        <v>170</v>
      </c>
      <c r="G83" s="1" t="s">
        <v>27</v>
      </c>
      <c r="H83" s="1" t="s">
        <v>28</v>
      </c>
      <c r="I83" s="3">
        <v>40914.649907407409</v>
      </c>
      <c r="J83" s="1">
        <v>1</v>
      </c>
      <c r="K83" s="1">
        <v>0</v>
      </c>
    </row>
    <row r="84" spans="1:11" ht="21.75" customHeight="1">
      <c r="A84" s="2">
        <v>8</v>
      </c>
      <c r="B84" s="1" t="s">
        <v>25</v>
      </c>
      <c r="C84" s="1">
        <v>2012</v>
      </c>
      <c r="D84" s="1" t="s">
        <v>46</v>
      </c>
      <c r="E84" s="1">
        <v>200</v>
      </c>
      <c r="F84" s="1">
        <v>200</v>
      </c>
      <c r="G84" s="1" t="s">
        <v>27</v>
      </c>
      <c r="H84" s="1" t="s">
        <v>33</v>
      </c>
      <c r="I84" s="3">
        <v>40917.595266203702</v>
      </c>
      <c r="J84" s="1">
        <v>1</v>
      </c>
      <c r="K84" s="1">
        <v>0</v>
      </c>
    </row>
    <row r="85" spans="1:11" ht="21.75" customHeight="1">
      <c r="A85" s="2">
        <v>26</v>
      </c>
      <c r="B85" s="1" t="s">
        <v>25</v>
      </c>
      <c r="C85" s="1">
        <v>2012</v>
      </c>
      <c r="D85" s="1" t="s">
        <v>46</v>
      </c>
      <c r="E85" s="1">
        <v>100</v>
      </c>
      <c r="F85" s="1">
        <v>100</v>
      </c>
      <c r="G85" s="1" t="s">
        <v>27</v>
      </c>
      <c r="H85" s="1" t="s">
        <v>28</v>
      </c>
      <c r="I85" s="3">
        <v>40934.472743055558</v>
      </c>
      <c r="J85" s="1">
        <v>1</v>
      </c>
      <c r="K85" s="1">
        <v>0</v>
      </c>
    </row>
    <row r="86" spans="1:11" ht="21.75" customHeight="1">
      <c r="A86" s="2">
        <v>31</v>
      </c>
      <c r="B86" s="1" t="s">
        <v>25</v>
      </c>
      <c r="C86" s="1">
        <v>2012</v>
      </c>
      <c r="D86" s="1" t="s">
        <v>46</v>
      </c>
      <c r="E86" s="1">
        <v>120</v>
      </c>
      <c r="F86" s="1">
        <v>120</v>
      </c>
      <c r="G86" s="1" t="s">
        <v>27</v>
      </c>
      <c r="H86" s="1" t="s">
        <v>28</v>
      </c>
      <c r="I86" s="3">
        <v>40938.523877314816</v>
      </c>
      <c r="J86" s="1">
        <v>1</v>
      </c>
      <c r="K86" s="1">
        <v>0</v>
      </c>
    </row>
    <row r="87" spans="1:11" ht="21.75" customHeight="1">
      <c r="A87" s="2">
        <v>3</v>
      </c>
      <c r="B87" s="1" t="s">
        <v>41</v>
      </c>
      <c r="C87" s="1">
        <v>2012</v>
      </c>
      <c r="D87" s="1" t="s">
        <v>46</v>
      </c>
      <c r="E87" s="1">
        <v>30</v>
      </c>
      <c r="F87" s="1">
        <v>30</v>
      </c>
      <c r="G87" s="1" t="s">
        <v>27</v>
      </c>
      <c r="H87" s="1" t="s">
        <v>28</v>
      </c>
      <c r="I87" s="3">
        <v>40942.415983796294</v>
      </c>
      <c r="J87" s="1">
        <v>1</v>
      </c>
      <c r="K87" s="1">
        <v>0</v>
      </c>
    </row>
    <row r="88" spans="1:11" ht="21.75" customHeight="1">
      <c r="A88" s="2">
        <v>11</v>
      </c>
      <c r="B88" s="1" t="s">
        <v>41</v>
      </c>
      <c r="C88" s="1">
        <v>2012</v>
      </c>
      <c r="D88" s="1" t="s">
        <v>46</v>
      </c>
      <c r="E88" s="1">
        <v>100</v>
      </c>
      <c r="F88" s="1">
        <v>100</v>
      </c>
      <c r="G88" s="1" t="s">
        <v>27</v>
      </c>
      <c r="H88" s="1" t="s">
        <v>28</v>
      </c>
      <c r="I88" s="3">
        <v>40949.638055555559</v>
      </c>
      <c r="J88" s="1">
        <v>1</v>
      </c>
      <c r="K88" s="1">
        <v>0</v>
      </c>
    </row>
    <row r="89" spans="1:11" ht="21.75" customHeight="1">
      <c r="A89" s="2">
        <v>16</v>
      </c>
      <c r="B89" s="1" t="s">
        <v>31</v>
      </c>
      <c r="C89" s="1">
        <v>2012</v>
      </c>
      <c r="D89" s="1" t="s">
        <v>46</v>
      </c>
      <c r="E89" s="1">
        <v>200</v>
      </c>
      <c r="F89" s="1">
        <v>200</v>
      </c>
      <c r="G89" s="1" t="s">
        <v>27</v>
      </c>
      <c r="H89" s="1" t="s">
        <v>28</v>
      </c>
      <c r="I89" s="3">
        <v>40983.684513888889</v>
      </c>
      <c r="J89" s="1">
        <v>1</v>
      </c>
      <c r="K89" s="1">
        <v>0</v>
      </c>
    </row>
    <row r="90" spans="1:11" ht="21.75" customHeight="1">
      <c r="A90" s="2">
        <v>16</v>
      </c>
      <c r="B90" s="1" t="s">
        <v>31</v>
      </c>
      <c r="C90" s="1">
        <v>2012</v>
      </c>
      <c r="D90" s="1" t="s">
        <v>46</v>
      </c>
      <c r="E90" s="1">
        <v>1798</v>
      </c>
      <c r="F90" s="1">
        <v>1798</v>
      </c>
      <c r="G90" s="1" t="s">
        <v>27</v>
      </c>
      <c r="H90" s="1" t="s">
        <v>33</v>
      </c>
      <c r="I90" s="3">
        <v>40987.46565972222</v>
      </c>
      <c r="J90" s="1">
        <v>1</v>
      </c>
      <c r="K90" s="1">
        <v>0</v>
      </c>
    </row>
    <row r="91" spans="1:11" ht="21.75" customHeight="1">
      <c r="A91" s="2">
        <v>17</v>
      </c>
      <c r="B91" s="1" t="s">
        <v>31</v>
      </c>
      <c r="C91" s="1">
        <v>2012</v>
      </c>
      <c r="D91" s="1" t="s">
        <v>46</v>
      </c>
      <c r="E91" s="1">
        <v>761</v>
      </c>
      <c r="F91" s="1">
        <v>761</v>
      </c>
      <c r="G91" s="1" t="s">
        <v>27</v>
      </c>
      <c r="H91" s="1" t="s">
        <v>33</v>
      </c>
      <c r="I91" s="3">
        <v>40987.507071759261</v>
      </c>
      <c r="J91" s="1">
        <v>1</v>
      </c>
      <c r="K91" s="1">
        <v>0</v>
      </c>
    </row>
    <row r="92" spans="1:11" ht="21.75" customHeight="1">
      <c r="A92" s="2">
        <v>28</v>
      </c>
      <c r="B92" s="1" t="s">
        <v>32</v>
      </c>
      <c r="C92" s="1">
        <v>2012</v>
      </c>
      <c r="D92" s="1" t="s">
        <v>46</v>
      </c>
      <c r="E92" s="1">
        <v>4</v>
      </c>
      <c r="F92" s="1">
        <v>4</v>
      </c>
      <c r="G92" s="1" t="s">
        <v>27</v>
      </c>
      <c r="H92" s="1" t="s">
        <v>28</v>
      </c>
      <c r="I92" s="3">
        <v>41026.552974537037</v>
      </c>
      <c r="J92" s="1">
        <v>1</v>
      </c>
      <c r="K92" s="1">
        <v>0</v>
      </c>
    </row>
    <row r="93" spans="1:11" ht="21.75" customHeight="1">
      <c r="A93" s="2">
        <v>6</v>
      </c>
      <c r="B93" s="1" t="s">
        <v>32</v>
      </c>
      <c r="C93" s="1">
        <v>2012</v>
      </c>
      <c r="D93" s="1" t="s">
        <v>46</v>
      </c>
      <c r="E93" s="1">
        <v>100</v>
      </c>
      <c r="F93" s="1">
        <v>100</v>
      </c>
      <c r="G93" s="1" t="s">
        <v>27</v>
      </c>
      <c r="H93" s="1" t="s">
        <v>33</v>
      </c>
      <c r="I93" s="3">
        <v>41010.485810185186</v>
      </c>
      <c r="J93" s="1">
        <v>1</v>
      </c>
      <c r="K93" s="1">
        <v>0</v>
      </c>
    </row>
    <row r="94" spans="1:11" ht="21.75" customHeight="1">
      <c r="A94" s="2">
        <v>13</v>
      </c>
      <c r="B94" s="1" t="s">
        <v>32</v>
      </c>
      <c r="C94" s="1">
        <v>2012</v>
      </c>
      <c r="D94" s="1" t="s">
        <v>46</v>
      </c>
      <c r="E94" s="1">
        <v>30</v>
      </c>
      <c r="F94" s="1">
        <v>30</v>
      </c>
      <c r="G94" s="1" t="s">
        <v>27</v>
      </c>
      <c r="H94" s="1" t="s">
        <v>33</v>
      </c>
      <c r="I94" s="3">
        <v>41012.421666666669</v>
      </c>
      <c r="J94" s="1">
        <v>1</v>
      </c>
      <c r="K94" s="1">
        <v>0</v>
      </c>
    </row>
    <row r="95" spans="1:11" ht="21.75" customHeight="1">
      <c r="A95" s="2">
        <v>14</v>
      </c>
      <c r="B95" s="1" t="s">
        <v>32</v>
      </c>
      <c r="C95" s="1">
        <v>2012</v>
      </c>
      <c r="D95" s="1" t="s">
        <v>46</v>
      </c>
      <c r="E95" s="1">
        <v>40</v>
      </c>
      <c r="F95" s="1">
        <v>40</v>
      </c>
      <c r="G95" s="1" t="s">
        <v>27</v>
      </c>
      <c r="H95" s="1" t="s">
        <v>28</v>
      </c>
      <c r="I95" s="3">
        <v>41012.626250000001</v>
      </c>
      <c r="J95" s="1">
        <v>1</v>
      </c>
      <c r="K95" s="1">
        <v>0</v>
      </c>
    </row>
    <row r="96" spans="1:11" ht="21.75" customHeight="1">
      <c r="A96" s="2">
        <v>14</v>
      </c>
      <c r="B96" s="1" t="s">
        <v>32</v>
      </c>
      <c r="C96" s="1">
        <v>2012</v>
      </c>
      <c r="D96" s="1" t="s">
        <v>46</v>
      </c>
      <c r="E96" s="1">
        <v>30</v>
      </c>
      <c r="F96" s="1">
        <v>30</v>
      </c>
      <c r="G96" s="1" t="s">
        <v>27</v>
      </c>
      <c r="H96" s="1" t="s">
        <v>28</v>
      </c>
      <c r="I96" s="3">
        <v>41012.615069444444</v>
      </c>
      <c r="J96" s="1">
        <v>1</v>
      </c>
      <c r="K96" s="1">
        <v>0</v>
      </c>
    </row>
    <row r="97" spans="1:11" ht="21.75" customHeight="1">
      <c r="A97" s="2">
        <v>18</v>
      </c>
      <c r="B97" s="1" t="s">
        <v>32</v>
      </c>
      <c r="C97" s="1">
        <v>2012</v>
      </c>
      <c r="D97" s="1" t="s">
        <v>46</v>
      </c>
      <c r="E97" s="1">
        <v>200</v>
      </c>
      <c r="F97" s="1">
        <v>200</v>
      </c>
      <c r="G97" s="1" t="s">
        <v>27</v>
      </c>
      <c r="H97" s="1" t="s">
        <v>28</v>
      </c>
      <c r="I97" s="3">
        <v>41016.487650462965</v>
      </c>
      <c r="J97" s="1">
        <v>1</v>
      </c>
      <c r="K97" s="1">
        <v>0</v>
      </c>
    </row>
    <row r="98" spans="1:11" ht="21.75" customHeight="1">
      <c r="A98" s="2">
        <v>20</v>
      </c>
      <c r="B98" s="1" t="s">
        <v>32</v>
      </c>
      <c r="C98" s="1">
        <v>2012</v>
      </c>
      <c r="D98" s="1" t="s">
        <v>46</v>
      </c>
      <c r="E98" s="1">
        <v>80</v>
      </c>
      <c r="F98" s="1">
        <v>80</v>
      </c>
      <c r="G98" s="1" t="s">
        <v>27</v>
      </c>
      <c r="H98" s="1" t="s">
        <v>28</v>
      </c>
      <c r="I98" s="3">
        <v>41018.662951388891</v>
      </c>
      <c r="J98" s="1">
        <v>1</v>
      </c>
      <c r="K98" s="1">
        <v>0</v>
      </c>
    </row>
    <row r="99" spans="1:11" ht="21.75" customHeight="1">
      <c r="A99" s="2">
        <v>21</v>
      </c>
      <c r="B99" s="1" t="s">
        <v>32</v>
      </c>
      <c r="C99" s="1">
        <v>2012</v>
      </c>
      <c r="D99" s="1" t="s">
        <v>46</v>
      </c>
      <c r="E99" s="1">
        <v>200</v>
      </c>
      <c r="F99" s="1">
        <v>200</v>
      </c>
      <c r="G99" s="1" t="s">
        <v>27</v>
      </c>
      <c r="H99" s="1" t="s">
        <v>33</v>
      </c>
      <c r="I99" s="3">
        <v>41023.374895833331</v>
      </c>
      <c r="J99" s="1">
        <v>1</v>
      </c>
      <c r="K99" s="1">
        <v>0</v>
      </c>
    </row>
    <row r="100" spans="1:11" ht="21.75" customHeight="1">
      <c r="A100" s="2">
        <v>26</v>
      </c>
      <c r="B100" s="1" t="s">
        <v>32</v>
      </c>
      <c r="C100" s="1">
        <v>2012</v>
      </c>
      <c r="D100" s="1" t="s">
        <v>46</v>
      </c>
      <c r="E100" s="1">
        <v>100</v>
      </c>
      <c r="F100" s="1">
        <v>100</v>
      </c>
      <c r="G100" s="1" t="s">
        <v>27</v>
      </c>
      <c r="H100" s="1" t="s">
        <v>28</v>
      </c>
      <c r="I100" s="3">
        <v>41024.608020833337</v>
      </c>
      <c r="J100" s="1">
        <v>1</v>
      </c>
      <c r="K100" s="1">
        <v>0</v>
      </c>
    </row>
    <row r="101" spans="1:11" ht="21.75" customHeight="1">
      <c r="A101" s="2">
        <v>2</v>
      </c>
      <c r="B101" s="1" t="s">
        <v>34</v>
      </c>
      <c r="C101" s="1">
        <v>2012</v>
      </c>
      <c r="D101" s="1" t="s">
        <v>46</v>
      </c>
      <c r="E101" s="1">
        <v>30</v>
      </c>
      <c r="F101" s="1">
        <v>30</v>
      </c>
      <c r="G101" s="1" t="s">
        <v>27</v>
      </c>
      <c r="H101" s="1" t="s">
        <v>33</v>
      </c>
      <c r="I101" s="3">
        <v>41031.399548611109</v>
      </c>
      <c r="J101" s="1">
        <v>1</v>
      </c>
      <c r="K101" s="1">
        <v>0</v>
      </c>
    </row>
    <row r="102" spans="1:11" ht="21.75" customHeight="1">
      <c r="A102" s="2">
        <v>9</v>
      </c>
      <c r="B102" s="1" t="s">
        <v>34</v>
      </c>
      <c r="C102" s="1">
        <v>2012</v>
      </c>
      <c r="D102" s="1" t="s">
        <v>46</v>
      </c>
      <c r="E102" s="1">
        <v>20</v>
      </c>
      <c r="F102" s="1">
        <v>20</v>
      </c>
      <c r="G102" s="1" t="s">
        <v>27</v>
      </c>
      <c r="H102" s="1" t="s">
        <v>28</v>
      </c>
      <c r="I102" s="3">
        <v>41038.318680555552</v>
      </c>
      <c r="J102" s="1">
        <v>1</v>
      </c>
      <c r="K102" s="1">
        <v>0</v>
      </c>
    </row>
    <row r="103" spans="1:11" ht="21.75" customHeight="1">
      <c r="A103" s="2">
        <v>23</v>
      </c>
      <c r="B103" s="1" t="s">
        <v>34</v>
      </c>
      <c r="C103" s="1">
        <v>2012</v>
      </c>
      <c r="D103" s="1" t="s">
        <v>46</v>
      </c>
      <c r="E103" s="1">
        <v>100</v>
      </c>
      <c r="F103" s="1">
        <v>100</v>
      </c>
      <c r="G103" s="1" t="s">
        <v>27</v>
      </c>
      <c r="H103" s="1" t="s">
        <v>33</v>
      </c>
      <c r="I103" s="3">
        <v>41052.444409722222</v>
      </c>
      <c r="J103" s="1">
        <v>1</v>
      </c>
      <c r="K103" s="1">
        <v>0</v>
      </c>
    </row>
    <row r="104" spans="1:11" ht="21.75" customHeight="1">
      <c r="A104" s="2">
        <v>31</v>
      </c>
      <c r="B104" s="1" t="s">
        <v>34</v>
      </c>
      <c r="C104" s="1">
        <v>2012</v>
      </c>
      <c r="D104" s="1" t="s">
        <v>46</v>
      </c>
      <c r="E104" s="1">
        <v>100</v>
      </c>
      <c r="F104" s="1">
        <v>100</v>
      </c>
      <c r="G104" s="1" t="s">
        <v>27</v>
      </c>
      <c r="H104" s="1" t="s">
        <v>33</v>
      </c>
      <c r="I104" s="3">
        <v>41059.512372685182</v>
      </c>
      <c r="J104" s="1">
        <v>1</v>
      </c>
      <c r="K104" s="1">
        <v>0</v>
      </c>
    </row>
    <row r="105" spans="1:11" ht="21.75" customHeight="1">
      <c r="A105" s="2">
        <v>7</v>
      </c>
      <c r="B105" s="1" t="s">
        <v>35</v>
      </c>
      <c r="C105" s="1">
        <v>2012</v>
      </c>
      <c r="D105" s="1" t="s">
        <v>46</v>
      </c>
      <c r="E105" s="1">
        <v>60</v>
      </c>
      <c r="F105" s="1">
        <v>60</v>
      </c>
      <c r="G105" s="1" t="s">
        <v>27</v>
      </c>
      <c r="H105" s="1" t="s">
        <v>28</v>
      </c>
      <c r="I105" s="3">
        <v>41068.645798611113</v>
      </c>
      <c r="J105" s="1">
        <v>1</v>
      </c>
      <c r="K105" s="1">
        <v>0</v>
      </c>
    </row>
    <row r="106" spans="1:11" ht="21.75" customHeight="1">
      <c r="A106" s="2">
        <v>14</v>
      </c>
      <c r="B106" s="1" t="s">
        <v>35</v>
      </c>
      <c r="C106" s="1">
        <v>2012</v>
      </c>
      <c r="D106" s="1" t="s">
        <v>46</v>
      </c>
      <c r="E106" s="1">
        <v>20</v>
      </c>
      <c r="F106" s="1">
        <v>20</v>
      </c>
      <c r="G106" s="1" t="s">
        <v>27</v>
      </c>
      <c r="H106" s="1" t="s">
        <v>28</v>
      </c>
      <c r="I106" s="3">
        <v>41074.40457175926</v>
      </c>
      <c r="J106" s="1">
        <v>1</v>
      </c>
      <c r="K106" s="1">
        <v>0</v>
      </c>
    </row>
    <row r="107" spans="1:11" ht="21.75" customHeight="1">
      <c r="A107" s="2">
        <v>31</v>
      </c>
      <c r="B107" s="1" t="s">
        <v>36</v>
      </c>
      <c r="C107" s="1">
        <v>2012</v>
      </c>
      <c r="D107" s="1" t="s">
        <v>46</v>
      </c>
      <c r="E107" s="1">
        <v>192</v>
      </c>
      <c r="F107" s="1">
        <v>192</v>
      </c>
      <c r="G107" s="1" t="s">
        <v>27</v>
      </c>
      <c r="H107" s="1" t="s">
        <v>28</v>
      </c>
      <c r="I107" s="3">
        <v>41121.744293981479</v>
      </c>
      <c r="J107" s="1">
        <v>1</v>
      </c>
      <c r="K107" s="1">
        <v>0</v>
      </c>
    </row>
    <row r="108" spans="1:11" ht="21.75" customHeight="1">
      <c r="A108" s="2">
        <v>31</v>
      </c>
      <c r="B108" s="1" t="s">
        <v>36</v>
      </c>
      <c r="C108" s="1">
        <v>2012</v>
      </c>
      <c r="D108" s="1" t="s">
        <v>46</v>
      </c>
      <c r="E108" s="1">
        <v>96</v>
      </c>
      <c r="F108" s="1">
        <v>96</v>
      </c>
      <c r="G108" s="1" t="s">
        <v>27</v>
      </c>
      <c r="H108" s="1" t="s">
        <v>28</v>
      </c>
      <c r="I108" s="3">
        <v>41121.745474537034</v>
      </c>
      <c r="J108" s="1">
        <v>1</v>
      </c>
      <c r="K108" s="1">
        <v>0</v>
      </c>
    </row>
    <row r="109" spans="1:11" ht="21.75" customHeight="1">
      <c r="A109" s="2">
        <v>24</v>
      </c>
      <c r="B109" s="1" t="s">
        <v>36</v>
      </c>
      <c r="C109" s="1">
        <v>2012</v>
      </c>
      <c r="D109" s="1" t="s">
        <v>46</v>
      </c>
      <c r="E109" s="1">
        <v>30</v>
      </c>
      <c r="F109" s="1">
        <v>30</v>
      </c>
      <c r="G109" s="1" t="s">
        <v>27</v>
      </c>
      <c r="H109" s="1" t="s">
        <v>33</v>
      </c>
      <c r="I109" s="3">
        <v>41114.511157407411</v>
      </c>
      <c r="J109" s="1">
        <v>1</v>
      </c>
      <c r="K109" s="1">
        <v>0</v>
      </c>
    </row>
    <row r="110" spans="1:11" ht="21.75" customHeight="1">
      <c r="A110" s="2">
        <v>25</v>
      </c>
      <c r="B110" s="1" t="s">
        <v>37</v>
      </c>
      <c r="C110" s="1">
        <v>2012</v>
      </c>
      <c r="D110" s="1" t="s">
        <v>46</v>
      </c>
      <c r="E110" s="1">
        <v>1668</v>
      </c>
      <c r="F110" s="1">
        <v>1668</v>
      </c>
      <c r="G110" s="1" t="s">
        <v>27</v>
      </c>
      <c r="H110" s="1" t="s">
        <v>28</v>
      </c>
      <c r="I110" s="3">
        <v>41149.747187499997</v>
      </c>
      <c r="J110" s="1">
        <v>1</v>
      </c>
      <c r="K110" s="1">
        <v>0</v>
      </c>
    </row>
    <row r="111" spans="1:11" ht="21.75" customHeight="1">
      <c r="A111" s="2">
        <v>5</v>
      </c>
      <c r="B111" s="1" t="s">
        <v>37</v>
      </c>
      <c r="C111" s="1">
        <v>2012</v>
      </c>
      <c r="D111" s="1" t="s">
        <v>46</v>
      </c>
      <c r="E111" s="1">
        <v>100</v>
      </c>
      <c r="F111" s="1">
        <v>100</v>
      </c>
      <c r="G111" s="1" t="s">
        <v>27</v>
      </c>
      <c r="H111" s="1" t="s">
        <v>33</v>
      </c>
      <c r="I111" s="3">
        <v>41127.48265046296</v>
      </c>
      <c r="J111" s="1">
        <v>1</v>
      </c>
      <c r="K111" s="1">
        <v>0</v>
      </c>
    </row>
    <row r="112" spans="1:11" ht="21.75" customHeight="1">
      <c r="A112" s="2">
        <v>9</v>
      </c>
      <c r="B112" s="1" t="s">
        <v>37</v>
      </c>
      <c r="C112" s="1">
        <v>2012</v>
      </c>
      <c r="D112" s="1" t="s">
        <v>46</v>
      </c>
      <c r="E112" s="1">
        <v>2000</v>
      </c>
      <c r="F112" s="1">
        <v>2000</v>
      </c>
      <c r="G112" s="1" t="s">
        <v>27</v>
      </c>
      <c r="H112" s="1" t="s">
        <v>28</v>
      </c>
      <c r="I112" s="3">
        <v>41131.497256944444</v>
      </c>
      <c r="J112" s="1">
        <v>1</v>
      </c>
      <c r="K112" s="1">
        <v>0</v>
      </c>
    </row>
    <row r="113" spans="1:11" ht="21.75" customHeight="1">
      <c r="A113" s="2">
        <v>16</v>
      </c>
      <c r="B113" s="1" t="s">
        <v>37</v>
      </c>
      <c r="C113" s="1">
        <v>2012</v>
      </c>
      <c r="D113" s="1" t="s">
        <v>46</v>
      </c>
      <c r="E113" s="1">
        <v>200</v>
      </c>
      <c r="F113" s="1">
        <v>200</v>
      </c>
      <c r="G113" s="1" t="s">
        <v>27</v>
      </c>
      <c r="H113" s="1" t="s">
        <v>33</v>
      </c>
      <c r="I113" s="3">
        <v>41138.36482638889</v>
      </c>
      <c r="J113" s="1">
        <v>1</v>
      </c>
      <c r="K113" s="1">
        <v>0</v>
      </c>
    </row>
    <row r="114" spans="1:11" ht="21.75" customHeight="1">
      <c r="A114" s="2">
        <v>8</v>
      </c>
      <c r="B114" s="1" t="s">
        <v>38</v>
      </c>
      <c r="C114" s="1">
        <v>2012</v>
      </c>
      <c r="D114" s="1" t="s">
        <v>46</v>
      </c>
      <c r="E114" s="1">
        <v>100</v>
      </c>
      <c r="F114" s="1">
        <v>100</v>
      </c>
      <c r="G114" s="1" t="s">
        <v>27</v>
      </c>
      <c r="H114" s="1" t="s">
        <v>28</v>
      </c>
      <c r="I114" s="3">
        <v>41164.660983796297</v>
      </c>
      <c r="J114" s="1">
        <v>1</v>
      </c>
      <c r="K114" s="1">
        <v>0</v>
      </c>
    </row>
    <row r="115" spans="1:11" ht="21.75" customHeight="1">
      <c r="A115" s="2">
        <v>13</v>
      </c>
      <c r="B115" s="1" t="s">
        <v>38</v>
      </c>
      <c r="C115" s="1">
        <v>2012</v>
      </c>
      <c r="D115" s="1" t="s">
        <v>46</v>
      </c>
      <c r="E115" s="1">
        <v>100</v>
      </c>
      <c r="F115" s="1">
        <v>100</v>
      </c>
      <c r="G115" s="1" t="s">
        <v>27</v>
      </c>
      <c r="H115" s="1" t="s">
        <v>28</v>
      </c>
      <c r="I115" s="3">
        <v>41165.73841435185</v>
      </c>
      <c r="J115" s="1">
        <v>1</v>
      </c>
      <c r="K115" s="1">
        <v>0</v>
      </c>
    </row>
    <row r="116" spans="1:11" ht="21.75" customHeight="1">
      <c r="A116" s="2">
        <v>30</v>
      </c>
      <c r="B116" s="1" t="s">
        <v>38</v>
      </c>
      <c r="C116" s="1">
        <v>2012</v>
      </c>
      <c r="D116" s="1" t="s">
        <v>46</v>
      </c>
      <c r="E116" s="1">
        <v>100</v>
      </c>
      <c r="F116" s="1">
        <v>100</v>
      </c>
      <c r="G116" s="1" t="s">
        <v>27</v>
      </c>
      <c r="H116" s="1" t="s">
        <v>28</v>
      </c>
      <c r="I116" s="3">
        <v>41185.624432870369</v>
      </c>
      <c r="J116" s="1">
        <v>1</v>
      </c>
      <c r="K116" s="1">
        <v>0</v>
      </c>
    </row>
    <row r="117" spans="1:11" ht="21.75" customHeight="1">
      <c r="A117" s="2">
        <v>6</v>
      </c>
      <c r="B117" s="1" t="s">
        <v>43</v>
      </c>
      <c r="C117" s="1">
        <v>2012</v>
      </c>
      <c r="D117" s="1" t="s">
        <v>46</v>
      </c>
      <c r="E117" s="1">
        <v>100</v>
      </c>
      <c r="F117" s="1">
        <v>100</v>
      </c>
      <c r="G117" s="1" t="s">
        <v>27</v>
      </c>
      <c r="H117" s="1" t="s">
        <v>33</v>
      </c>
      <c r="I117" s="3">
        <v>41187.607511574075</v>
      </c>
      <c r="J117" s="1">
        <v>1</v>
      </c>
      <c r="K117" s="1">
        <v>0</v>
      </c>
    </row>
    <row r="118" spans="1:11" ht="21.75" customHeight="1">
      <c r="A118" s="2">
        <v>6</v>
      </c>
      <c r="B118" s="1" t="s">
        <v>43</v>
      </c>
      <c r="C118" s="1">
        <v>2012</v>
      </c>
      <c r="D118" s="1" t="s">
        <v>46</v>
      </c>
      <c r="E118" s="1">
        <v>100</v>
      </c>
      <c r="F118" s="1">
        <v>100</v>
      </c>
      <c r="G118" s="1" t="s">
        <v>27</v>
      </c>
      <c r="H118" s="1" t="s">
        <v>28</v>
      </c>
      <c r="I118" s="3">
        <v>41190.481215277781</v>
      </c>
      <c r="J118" s="1">
        <v>1</v>
      </c>
      <c r="K118" s="1">
        <v>0</v>
      </c>
    </row>
    <row r="119" spans="1:11" ht="21.75" customHeight="1">
      <c r="A119" s="2">
        <v>17</v>
      </c>
      <c r="B119" s="1" t="s">
        <v>43</v>
      </c>
      <c r="C119" s="1">
        <v>2012</v>
      </c>
      <c r="D119" s="1" t="s">
        <v>46</v>
      </c>
      <c r="E119" s="1">
        <v>100</v>
      </c>
      <c r="F119" s="1">
        <v>100</v>
      </c>
      <c r="G119" s="1" t="s">
        <v>27</v>
      </c>
      <c r="H119" s="1" t="s">
        <v>28</v>
      </c>
      <c r="I119" s="3">
        <v>41199.650439814817</v>
      </c>
      <c r="J119" s="1">
        <v>1</v>
      </c>
      <c r="K119" s="1">
        <v>0</v>
      </c>
    </row>
    <row r="120" spans="1:11" ht="21.75" customHeight="1">
      <c r="A120" s="2">
        <v>7</v>
      </c>
      <c r="B120" s="1" t="s">
        <v>44</v>
      </c>
      <c r="C120" s="1">
        <v>2012</v>
      </c>
      <c r="D120" s="1" t="s">
        <v>46</v>
      </c>
      <c r="E120" s="1">
        <v>30</v>
      </c>
      <c r="F120" s="1">
        <v>30</v>
      </c>
      <c r="G120" s="1" t="s">
        <v>27</v>
      </c>
      <c r="H120" s="1" t="s">
        <v>28</v>
      </c>
      <c r="I120" s="3">
        <v>41220.498067129629</v>
      </c>
      <c r="J120" s="1">
        <v>1</v>
      </c>
      <c r="K120" s="1">
        <v>0</v>
      </c>
    </row>
    <row r="121" spans="1:11" ht="21.75" customHeight="1">
      <c r="A121" s="2">
        <v>18</v>
      </c>
      <c r="B121" s="1" t="s">
        <v>44</v>
      </c>
      <c r="C121" s="1">
        <v>2012</v>
      </c>
      <c r="D121" s="1" t="s">
        <v>46</v>
      </c>
      <c r="E121" s="1">
        <v>40</v>
      </c>
      <c r="F121" s="1">
        <v>40</v>
      </c>
      <c r="G121" s="1" t="s">
        <v>27</v>
      </c>
      <c r="H121" s="1" t="s">
        <v>33</v>
      </c>
      <c r="I121" s="3">
        <v>41232.397719907407</v>
      </c>
      <c r="J121" s="1">
        <v>1</v>
      </c>
      <c r="K121" s="1">
        <v>0</v>
      </c>
    </row>
    <row r="122" spans="1:11" ht="21.75" customHeight="1">
      <c r="A122" s="2">
        <v>16</v>
      </c>
      <c r="B122" s="1" t="s">
        <v>45</v>
      </c>
      <c r="C122" s="1">
        <v>2012</v>
      </c>
      <c r="D122" s="1" t="s">
        <v>46</v>
      </c>
      <c r="E122" s="1">
        <v>50</v>
      </c>
      <c r="F122" s="1">
        <v>50</v>
      </c>
      <c r="G122" s="1" t="s">
        <v>27</v>
      </c>
      <c r="H122" s="1" t="s">
        <v>28</v>
      </c>
      <c r="I122" s="3">
        <v>41260.632592592592</v>
      </c>
      <c r="J122" s="1">
        <v>1</v>
      </c>
      <c r="K122" s="1">
        <v>0</v>
      </c>
    </row>
    <row r="123" spans="1:11" ht="21.75" customHeight="1">
      <c r="A123" s="2">
        <v>2</v>
      </c>
      <c r="B123" s="1" t="s">
        <v>45</v>
      </c>
      <c r="C123" s="1">
        <v>2012</v>
      </c>
      <c r="D123" s="1" t="s">
        <v>46</v>
      </c>
      <c r="E123" s="1">
        <v>10</v>
      </c>
      <c r="F123" s="1">
        <v>10</v>
      </c>
      <c r="G123" s="1" t="s">
        <v>27</v>
      </c>
      <c r="H123" s="1" t="s">
        <v>28</v>
      </c>
      <c r="I123" s="3">
        <v>41246.511759259258</v>
      </c>
      <c r="J123" s="1">
        <v>1</v>
      </c>
      <c r="K123" s="1">
        <v>0</v>
      </c>
    </row>
    <row r="124" spans="1:11" ht="21.75" customHeight="1">
      <c r="A124" s="2">
        <v>6</v>
      </c>
      <c r="B124" s="1" t="s">
        <v>45</v>
      </c>
      <c r="C124" s="1">
        <v>2012</v>
      </c>
      <c r="D124" s="1" t="s">
        <v>46</v>
      </c>
      <c r="E124" s="1">
        <v>8</v>
      </c>
      <c r="F124" s="1">
        <v>8</v>
      </c>
      <c r="G124" s="1" t="s">
        <v>27</v>
      </c>
      <c r="H124" s="1" t="s">
        <v>28</v>
      </c>
      <c r="I124" s="3">
        <v>41249.447453703702</v>
      </c>
      <c r="J124" s="1">
        <v>1</v>
      </c>
      <c r="K124" s="1">
        <v>0</v>
      </c>
    </row>
    <row r="125" spans="1:11" ht="21.75" customHeight="1">
      <c r="A125" s="2">
        <v>14</v>
      </c>
      <c r="B125" s="1" t="s">
        <v>45</v>
      </c>
      <c r="C125" s="1">
        <v>2012</v>
      </c>
      <c r="D125" s="1" t="s">
        <v>46</v>
      </c>
      <c r="E125" s="1">
        <v>200</v>
      </c>
      <c r="F125" s="1">
        <v>200</v>
      </c>
      <c r="G125" s="1" t="s">
        <v>27</v>
      </c>
      <c r="H125" s="1" t="s">
        <v>28</v>
      </c>
      <c r="I125" s="3">
        <v>41257.46775462963</v>
      </c>
      <c r="J125" s="1">
        <v>1</v>
      </c>
      <c r="K125" s="1">
        <v>0</v>
      </c>
    </row>
    <row r="126" spans="1:11" ht="21.75" customHeight="1">
      <c r="A126" s="2">
        <v>19</v>
      </c>
      <c r="B126" s="1" t="s">
        <v>45</v>
      </c>
      <c r="C126" s="1">
        <v>2012</v>
      </c>
      <c r="D126" s="1" t="s">
        <v>46</v>
      </c>
      <c r="E126" s="1">
        <v>50</v>
      </c>
      <c r="F126" s="1">
        <v>50</v>
      </c>
      <c r="G126" s="1" t="s">
        <v>27</v>
      </c>
      <c r="H126" s="1" t="s">
        <v>28</v>
      </c>
      <c r="I126" s="3">
        <v>41264.450682870367</v>
      </c>
      <c r="J126" s="1">
        <v>1</v>
      </c>
      <c r="K126" s="1">
        <v>0</v>
      </c>
    </row>
    <row r="127" spans="1:11" ht="21.75" customHeight="1">
      <c r="A127" s="2">
        <v>30</v>
      </c>
      <c r="B127" s="1" t="s">
        <v>31</v>
      </c>
      <c r="C127" s="1">
        <v>2012</v>
      </c>
      <c r="D127" s="1" t="s">
        <v>46</v>
      </c>
      <c r="E127" s="1">
        <v>60</v>
      </c>
      <c r="F127" s="1">
        <v>60</v>
      </c>
      <c r="G127" s="1" t="s">
        <v>27</v>
      </c>
      <c r="H127" s="1" t="s">
        <v>28</v>
      </c>
      <c r="I127" s="3">
        <v>40998.48228009259</v>
      </c>
      <c r="J127" s="1">
        <v>1</v>
      </c>
      <c r="K127" s="1">
        <v>0</v>
      </c>
    </row>
    <row r="128" spans="1:11" ht="21.75" customHeight="1">
      <c r="A128" s="2">
        <v>15</v>
      </c>
      <c r="B128" s="1" t="s">
        <v>34</v>
      </c>
      <c r="C128" s="1">
        <v>2012</v>
      </c>
      <c r="D128" s="1" t="s">
        <v>46</v>
      </c>
      <c r="E128" s="1">
        <v>40</v>
      </c>
      <c r="F128" s="1">
        <v>40</v>
      </c>
      <c r="G128" s="1" t="s">
        <v>27</v>
      </c>
      <c r="H128" s="1" t="s">
        <v>28</v>
      </c>
      <c r="I128" s="3">
        <v>41044.62877314815</v>
      </c>
      <c r="J128" s="1">
        <v>1</v>
      </c>
      <c r="K128" s="1">
        <v>0</v>
      </c>
    </row>
    <row r="129" spans="1:11" ht="21.75" customHeight="1">
      <c r="A129" s="2">
        <v>15</v>
      </c>
      <c r="B129" s="1" t="s">
        <v>37</v>
      </c>
      <c r="C129" s="1">
        <v>2012</v>
      </c>
      <c r="D129" s="1" t="s">
        <v>46</v>
      </c>
      <c r="E129" s="1">
        <v>500</v>
      </c>
      <c r="F129" s="1">
        <v>500</v>
      </c>
      <c r="G129" s="1" t="s">
        <v>27</v>
      </c>
      <c r="H129" s="1" t="s">
        <v>33</v>
      </c>
      <c r="I129" s="3">
        <v>41136.49962962963</v>
      </c>
      <c r="J129" s="1">
        <v>1</v>
      </c>
      <c r="K129" s="1">
        <v>0</v>
      </c>
    </row>
    <row r="130" spans="1:11" ht="21.75" customHeight="1">
      <c r="A130" s="2">
        <v>14</v>
      </c>
      <c r="B130" s="1" t="s">
        <v>38</v>
      </c>
      <c r="C130" s="1">
        <v>2012</v>
      </c>
      <c r="D130" s="1" t="s">
        <v>46</v>
      </c>
      <c r="E130" s="1">
        <v>568</v>
      </c>
      <c r="F130" s="1">
        <v>568</v>
      </c>
      <c r="G130" s="1" t="s">
        <v>27</v>
      </c>
      <c r="H130" s="1" t="s">
        <v>28</v>
      </c>
      <c r="I130" s="3">
        <v>41165.768379629626</v>
      </c>
      <c r="J130" s="1">
        <v>1</v>
      </c>
      <c r="K130" s="1">
        <v>0</v>
      </c>
    </row>
    <row r="131" spans="1:11" ht="21.75" customHeight="1">
      <c r="A131" s="2">
        <v>7</v>
      </c>
      <c r="B131" s="1" t="s">
        <v>43</v>
      </c>
      <c r="C131" s="1">
        <v>2012</v>
      </c>
      <c r="D131" s="1" t="s">
        <v>46</v>
      </c>
      <c r="E131" s="1">
        <v>50</v>
      </c>
      <c r="F131" s="1">
        <v>50</v>
      </c>
      <c r="G131" s="1" t="s">
        <v>27</v>
      </c>
      <c r="H131" s="1" t="s">
        <v>33</v>
      </c>
      <c r="I131" s="3">
        <v>41190.440879629627</v>
      </c>
      <c r="J131" s="1">
        <v>1</v>
      </c>
      <c r="K131" s="1">
        <v>0</v>
      </c>
    </row>
    <row r="132" spans="1:11" ht="21.75" customHeight="1">
      <c r="A132" s="2">
        <v>23</v>
      </c>
      <c r="B132" s="1" t="s">
        <v>44</v>
      </c>
      <c r="C132" s="1">
        <v>2012</v>
      </c>
      <c r="D132" s="1" t="s">
        <v>46</v>
      </c>
      <c r="E132" s="1">
        <v>200</v>
      </c>
      <c r="F132" s="1">
        <v>200</v>
      </c>
      <c r="G132" s="1" t="s">
        <v>27</v>
      </c>
      <c r="H132" s="1" t="s">
        <v>33</v>
      </c>
      <c r="I132" s="3">
        <v>41236.450509259259</v>
      </c>
      <c r="J132" s="1">
        <v>1</v>
      </c>
      <c r="K132" s="1">
        <v>0</v>
      </c>
    </row>
    <row r="133" spans="1:11" ht="21.75" customHeight="1">
      <c r="A133" s="2">
        <v>16</v>
      </c>
      <c r="B133" s="1" t="s">
        <v>31</v>
      </c>
      <c r="C133" s="1">
        <v>2012</v>
      </c>
      <c r="D133" s="1" t="s">
        <v>46</v>
      </c>
      <c r="E133" s="1">
        <v>202</v>
      </c>
      <c r="F133" s="1">
        <v>202</v>
      </c>
      <c r="G133" s="1" t="s">
        <v>27</v>
      </c>
      <c r="H133" s="1" t="s">
        <v>33</v>
      </c>
      <c r="I133" s="3">
        <v>40987.46565972222</v>
      </c>
      <c r="J133" s="1">
        <v>0</v>
      </c>
      <c r="K133" s="1">
        <v>2</v>
      </c>
    </row>
    <row r="134" spans="1:11" ht="21.75" customHeight="1">
      <c r="A134" s="2">
        <v>17</v>
      </c>
      <c r="B134" s="1" t="s">
        <v>31</v>
      </c>
      <c r="C134" s="1">
        <v>2012</v>
      </c>
      <c r="D134" s="1" t="s">
        <v>46</v>
      </c>
      <c r="E134" s="1">
        <v>5239</v>
      </c>
      <c r="F134" s="1">
        <v>0</v>
      </c>
      <c r="G134" s="1" t="s">
        <v>27</v>
      </c>
      <c r="H134" s="1" t="s">
        <v>33</v>
      </c>
      <c r="I134" s="3">
        <v>40987.507071759261</v>
      </c>
      <c r="J134" s="1">
        <v>0</v>
      </c>
      <c r="K134" s="1">
        <v>2</v>
      </c>
    </row>
    <row r="135" spans="1:11" ht="21.75" customHeight="1">
      <c r="A135" s="2">
        <v>25</v>
      </c>
      <c r="B135" s="1" t="s">
        <v>37</v>
      </c>
      <c r="C135" s="1">
        <v>2012</v>
      </c>
      <c r="D135" s="1" t="s">
        <v>46</v>
      </c>
      <c r="E135" s="1">
        <v>1332</v>
      </c>
      <c r="F135" s="1">
        <v>1332</v>
      </c>
      <c r="G135" s="1" t="s">
        <v>27</v>
      </c>
      <c r="H135" s="1" t="s">
        <v>28</v>
      </c>
      <c r="I135" s="3">
        <v>41149.747187499997</v>
      </c>
      <c r="J135" s="1">
        <v>0</v>
      </c>
      <c r="K135" s="1">
        <v>2</v>
      </c>
    </row>
    <row r="136" spans="1:11" ht="21.75" customHeight="1">
      <c r="A136" s="2">
        <v>16</v>
      </c>
      <c r="B136" s="1" t="s">
        <v>31</v>
      </c>
      <c r="C136" s="1">
        <v>2012</v>
      </c>
      <c r="D136" s="1" t="s">
        <v>46</v>
      </c>
      <c r="E136" s="1">
        <v>2000</v>
      </c>
      <c r="F136" s="1">
        <v>0</v>
      </c>
      <c r="G136" s="1" t="s">
        <v>27</v>
      </c>
      <c r="H136" s="1" t="s">
        <v>33</v>
      </c>
      <c r="I136" s="3">
        <v>40987.46565972222</v>
      </c>
      <c r="J136" s="1">
        <v>0</v>
      </c>
      <c r="K136" s="1">
        <v>2</v>
      </c>
    </row>
    <row r="137" spans="1:11" ht="21.75" customHeight="1">
      <c r="A137" s="2">
        <v>27</v>
      </c>
      <c r="B137" s="1" t="s">
        <v>32</v>
      </c>
      <c r="C137" s="1">
        <v>2012</v>
      </c>
      <c r="D137" s="1" t="s">
        <v>47</v>
      </c>
      <c r="E137" s="1">
        <v>1</v>
      </c>
      <c r="F137" s="1">
        <v>1</v>
      </c>
      <c r="G137" s="1" t="s">
        <v>27</v>
      </c>
      <c r="H137" s="1" t="s">
        <v>28</v>
      </c>
      <c r="I137" s="3">
        <v>41025.6406712963</v>
      </c>
      <c r="J137" s="1">
        <v>1</v>
      </c>
      <c r="K137" s="1">
        <v>0</v>
      </c>
    </row>
    <row r="138" spans="1:11" ht="21.75" customHeight="1">
      <c r="A138" s="2">
        <v>30</v>
      </c>
      <c r="B138" s="1" t="s">
        <v>37</v>
      </c>
      <c r="C138" s="1">
        <v>2012</v>
      </c>
      <c r="D138" s="1" t="s">
        <v>47</v>
      </c>
      <c r="E138" s="1">
        <v>3</v>
      </c>
      <c r="F138" s="1">
        <v>3</v>
      </c>
      <c r="G138" s="1" t="s">
        <v>27</v>
      </c>
      <c r="H138" s="1" t="s">
        <v>28</v>
      </c>
      <c r="I138" s="3">
        <v>41154.490358796298</v>
      </c>
      <c r="J138" s="1">
        <v>1</v>
      </c>
      <c r="K138" s="1">
        <v>0</v>
      </c>
    </row>
    <row r="139" spans="1:11" ht="21.75" customHeight="1">
      <c r="A139" s="2">
        <v>21</v>
      </c>
      <c r="B139" s="1" t="s">
        <v>45</v>
      </c>
      <c r="C139" s="1">
        <v>2012</v>
      </c>
      <c r="D139" s="1" t="s">
        <v>47</v>
      </c>
      <c r="E139" s="1">
        <v>3</v>
      </c>
      <c r="F139" s="1">
        <v>3</v>
      </c>
      <c r="G139" s="1" t="s">
        <v>27</v>
      </c>
      <c r="H139" s="1" t="s">
        <v>28</v>
      </c>
      <c r="I139" s="3">
        <v>41264.489074074074</v>
      </c>
      <c r="J139" s="1">
        <v>1</v>
      </c>
      <c r="K139" s="1">
        <v>0</v>
      </c>
    </row>
    <row r="140" spans="1:11" ht="21.75" customHeight="1">
      <c r="A140" s="2">
        <v>12</v>
      </c>
      <c r="B140" s="1" t="s">
        <v>32</v>
      </c>
      <c r="C140" s="1">
        <v>2012</v>
      </c>
      <c r="D140" s="1" t="s">
        <v>47</v>
      </c>
      <c r="E140" s="1">
        <v>1</v>
      </c>
      <c r="F140" s="1">
        <v>1</v>
      </c>
      <c r="G140" s="1" t="s">
        <v>27</v>
      </c>
      <c r="H140" s="1" t="s">
        <v>28</v>
      </c>
      <c r="I140" s="3">
        <v>41011.674560185187</v>
      </c>
      <c r="J140" s="1">
        <v>1</v>
      </c>
      <c r="K140" s="1">
        <v>0</v>
      </c>
    </row>
    <row r="141" spans="1:11" ht="21.75" customHeight="1">
      <c r="A141" s="2">
        <v>13</v>
      </c>
      <c r="B141" s="1" t="s">
        <v>36</v>
      </c>
      <c r="C141" s="1">
        <v>2012</v>
      </c>
      <c r="D141" s="1" t="s">
        <v>47</v>
      </c>
      <c r="E141" s="1">
        <v>1</v>
      </c>
      <c r="F141" s="1">
        <v>1</v>
      </c>
      <c r="G141" s="1" t="s">
        <v>27</v>
      </c>
      <c r="H141" s="1" t="s">
        <v>28</v>
      </c>
      <c r="I141" s="3">
        <v>41103.761435185188</v>
      </c>
      <c r="J141" s="1">
        <v>1</v>
      </c>
      <c r="K141" s="1">
        <v>0</v>
      </c>
    </row>
    <row r="142" spans="1:11" ht="21.75" customHeight="1">
      <c r="A142" s="2">
        <v>30</v>
      </c>
      <c r="B142" s="1" t="s">
        <v>41</v>
      </c>
      <c r="C142" s="1">
        <v>2012</v>
      </c>
      <c r="D142" s="1" t="s">
        <v>48</v>
      </c>
      <c r="E142" s="1">
        <v>3</v>
      </c>
      <c r="F142" s="1">
        <v>3</v>
      </c>
      <c r="G142" s="1" t="s">
        <v>27</v>
      </c>
      <c r="H142" s="1" t="s">
        <v>28</v>
      </c>
      <c r="I142" s="3">
        <v>40973.521678240744</v>
      </c>
      <c r="J142" s="1">
        <v>1</v>
      </c>
      <c r="K142" s="1">
        <v>0</v>
      </c>
    </row>
    <row r="143" spans="1:11" ht="21.75" customHeight="1">
      <c r="A143" s="2">
        <v>24</v>
      </c>
      <c r="B143" s="1" t="s">
        <v>34</v>
      </c>
      <c r="C143" s="1">
        <v>2012</v>
      </c>
      <c r="D143" s="1" t="s">
        <v>48</v>
      </c>
      <c r="E143" s="1">
        <v>1</v>
      </c>
      <c r="F143" s="1">
        <v>1</v>
      </c>
      <c r="G143" s="1" t="s">
        <v>27</v>
      </c>
      <c r="H143" s="1" t="s">
        <v>28</v>
      </c>
      <c r="I143" s="3">
        <v>41055.370138888888</v>
      </c>
      <c r="J143" s="1">
        <v>1</v>
      </c>
      <c r="K143" s="1">
        <v>0</v>
      </c>
    </row>
    <row r="144" spans="1:11" ht="21.75" customHeight="1">
      <c r="A144" s="2">
        <v>14</v>
      </c>
      <c r="B144" s="1" t="s">
        <v>45</v>
      </c>
      <c r="C144" s="1">
        <v>2012</v>
      </c>
      <c r="D144" s="1" t="s">
        <v>48</v>
      </c>
      <c r="E144" s="1">
        <v>2</v>
      </c>
      <c r="F144" s="1">
        <v>2</v>
      </c>
      <c r="G144" s="1" t="s">
        <v>27</v>
      </c>
      <c r="H144" s="1" t="s">
        <v>33</v>
      </c>
      <c r="I144" s="3">
        <v>41257.524965277778</v>
      </c>
      <c r="J144" s="1">
        <v>1</v>
      </c>
      <c r="K144" s="1">
        <v>0</v>
      </c>
    </row>
    <row r="145" spans="1:11" ht="21.75" customHeight="1">
      <c r="A145" s="2">
        <v>24</v>
      </c>
      <c r="B145" s="1" t="s">
        <v>34</v>
      </c>
      <c r="C145" s="1">
        <v>2012</v>
      </c>
      <c r="D145" s="1" t="s">
        <v>48</v>
      </c>
      <c r="E145" s="1">
        <v>2</v>
      </c>
      <c r="F145" s="1">
        <v>2</v>
      </c>
      <c r="G145" s="1" t="s">
        <v>27</v>
      </c>
      <c r="H145" s="1" t="s">
        <v>28</v>
      </c>
      <c r="I145" s="3">
        <v>41055.370138888888</v>
      </c>
      <c r="J145" s="1">
        <v>0</v>
      </c>
      <c r="K145" s="1">
        <v>2</v>
      </c>
    </row>
    <row r="146" spans="1:11" ht="21.75" customHeight="1">
      <c r="A146" s="2">
        <v>14</v>
      </c>
      <c r="B146" s="1" t="s">
        <v>45</v>
      </c>
      <c r="C146" s="1">
        <v>2012</v>
      </c>
      <c r="D146" s="1" t="s">
        <v>48</v>
      </c>
      <c r="E146" s="1">
        <v>1</v>
      </c>
      <c r="F146" s="1">
        <v>1</v>
      </c>
      <c r="G146" s="1" t="s">
        <v>27</v>
      </c>
      <c r="H146" s="1" t="s">
        <v>33</v>
      </c>
      <c r="I146" s="3">
        <v>41257.524965277778</v>
      </c>
      <c r="J146" s="1">
        <v>0</v>
      </c>
      <c r="K146" s="1">
        <v>2</v>
      </c>
    </row>
    <row r="147" spans="1:11" ht="21.75" customHeight="1">
      <c r="A147" s="2">
        <v>14</v>
      </c>
      <c r="B147" s="1" t="s">
        <v>45</v>
      </c>
      <c r="C147" s="1">
        <v>2012</v>
      </c>
      <c r="D147" s="1" t="s">
        <v>48</v>
      </c>
      <c r="E147" s="1">
        <v>1</v>
      </c>
      <c r="F147" s="1">
        <v>1</v>
      </c>
      <c r="G147" s="1" t="s">
        <v>27</v>
      </c>
      <c r="H147" s="1" t="s">
        <v>33</v>
      </c>
      <c r="I147" s="3">
        <v>41257.524965277778</v>
      </c>
      <c r="J147" s="1">
        <v>0</v>
      </c>
      <c r="K147" s="1">
        <v>2</v>
      </c>
    </row>
    <row r="148" spans="1:11" ht="21.75" customHeight="1">
      <c r="A148" s="2">
        <v>14</v>
      </c>
      <c r="B148" s="1" t="s">
        <v>45</v>
      </c>
      <c r="C148" s="1">
        <v>2012</v>
      </c>
      <c r="D148" s="1" t="s">
        <v>48</v>
      </c>
      <c r="E148" s="1">
        <v>1</v>
      </c>
      <c r="F148" s="1">
        <v>0</v>
      </c>
      <c r="G148" s="1" t="s">
        <v>27</v>
      </c>
      <c r="H148" s="1" t="s">
        <v>33</v>
      </c>
      <c r="I148" s="3">
        <v>41257.524965277778</v>
      </c>
      <c r="J148" s="1">
        <v>0</v>
      </c>
      <c r="K148" s="1">
        <v>2</v>
      </c>
    </row>
    <row r="149" spans="1:11" ht="21.75" customHeight="1">
      <c r="A149" s="2">
        <v>30</v>
      </c>
      <c r="B149" s="1" t="s">
        <v>41</v>
      </c>
      <c r="C149" s="1">
        <v>2012</v>
      </c>
      <c r="D149" s="1" t="s">
        <v>49</v>
      </c>
      <c r="E149" s="1">
        <v>3</v>
      </c>
      <c r="F149" s="1">
        <v>3</v>
      </c>
      <c r="G149" s="1" t="s">
        <v>27</v>
      </c>
      <c r="H149" s="1" t="s">
        <v>28</v>
      </c>
      <c r="I149" s="3">
        <v>40973.521678240744</v>
      </c>
      <c r="J149" s="1">
        <v>1</v>
      </c>
      <c r="K149" s="1">
        <v>0</v>
      </c>
    </row>
    <row r="150" spans="1:11" ht="21.75" customHeight="1">
      <c r="A150" s="2">
        <v>24</v>
      </c>
      <c r="B150" s="1" t="s">
        <v>34</v>
      </c>
      <c r="C150" s="1">
        <v>2012</v>
      </c>
      <c r="D150" s="1" t="s">
        <v>49</v>
      </c>
      <c r="E150" s="1">
        <v>3</v>
      </c>
      <c r="F150" s="1">
        <v>3</v>
      </c>
      <c r="G150" s="1" t="s">
        <v>27</v>
      </c>
      <c r="H150" s="1" t="s">
        <v>28</v>
      </c>
      <c r="I150" s="3">
        <v>41055.370138888888</v>
      </c>
      <c r="J150" s="1">
        <v>1</v>
      </c>
      <c r="K150" s="1">
        <v>0</v>
      </c>
    </row>
    <row r="151" spans="1:11" ht="21.75" customHeight="1">
      <c r="A151" s="2">
        <v>25</v>
      </c>
      <c r="B151" s="1" t="s">
        <v>37</v>
      </c>
      <c r="C151" s="1">
        <v>2012</v>
      </c>
      <c r="D151" s="1" t="s">
        <v>50</v>
      </c>
      <c r="E151" s="1">
        <v>20</v>
      </c>
      <c r="F151" s="1">
        <v>0</v>
      </c>
      <c r="G151" s="1" t="s">
        <v>27</v>
      </c>
      <c r="H151" s="1" t="s">
        <v>33</v>
      </c>
      <c r="I151" s="3">
        <v>41149.469594907408</v>
      </c>
      <c r="J151" s="1">
        <v>1</v>
      </c>
      <c r="K151" s="1">
        <v>0</v>
      </c>
    </row>
    <row r="152" spans="1:11" ht="21.75" customHeight="1">
      <c r="A152" s="2">
        <v>7</v>
      </c>
      <c r="B152" s="1" t="s">
        <v>25</v>
      </c>
      <c r="C152" s="1">
        <v>2012</v>
      </c>
      <c r="D152" s="1" t="s">
        <v>51</v>
      </c>
      <c r="E152" s="1">
        <v>20</v>
      </c>
      <c r="F152" s="1">
        <v>20</v>
      </c>
      <c r="G152" s="1" t="s">
        <v>27</v>
      </c>
      <c r="H152" s="1" t="s">
        <v>33</v>
      </c>
      <c r="I152" s="3">
        <v>40917.362407407411</v>
      </c>
      <c r="J152" s="1">
        <v>1</v>
      </c>
      <c r="K152" s="1">
        <v>0</v>
      </c>
    </row>
    <row r="153" spans="1:11" ht="21.75" customHeight="1">
      <c r="A153" s="2">
        <v>20</v>
      </c>
      <c r="B153" s="1" t="s">
        <v>44</v>
      </c>
      <c r="C153" s="1">
        <v>2012</v>
      </c>
      <c r="D153" s="1" t="s">
        <v>51</v>
      </c>
      <c r="E153" s="1">
        <v>10</v>
      </c>
      <c r="F153" s="1">
        <v>10</v>
      </c>
      <c r="G153" s="1" t="s">
        <v>27</v>
      </c>
      <c r="H153" s="1" t="s">
        <v>28</v>
      </c>
      <c r="I153" s="3">
        <v>41236.624583333331</v>
      </c>
      <c r="J153" s="1">
        <v>1</v>
      </c>
      <c r="K153" s="1">
        <v>0</v>
      </c>
    </row>
    <row r="154" spans="1:11" ht="21.75" customHeight="1">
      <c r="A154" s="2">
        <v>30</v>
      </c>
      <c r="B154" s="1" t="s">
        <v>45</v>
      </c>
      <c r="C154" s="1">
        <v>2012</v>
      </c>
      <c r="D154" s="1" t="s">
        <v>51</v>
      </c>
      <c r="E154" s="1">
        <v>15</v>
      </c>
      <c r="F154" s="1">
        <v>15</v>
      </c>
      <c r="G154" s="1" t="s">
        <v>27</v>
      </c>
      <c r="H154" s="1" t="s">
        <v>28</v>
      </c>
      <c r="I154" s="3">
        <v>41279.478726851848</v>
      </c>
      <c r="J154" s="1">
        <v>1</v>
      </c>
      <c r="K154" s="1">
        <v>0</v>
      </c>
    </row>
    <row r="155" spans="1:11" ht="21.75" customHeight="1">
      <c r="A155" s="2">
        <v>28</v>
      </c>
      <c r="B155" s="1" t="s">
        <v>31</v>
      </c>
      <c r="C155" s="1">
        <v>2012</v>
      </c>
      <c r="D155" s="1" t="s">
        <v>52</v>
      </c>
      <c r="E155" s="1">
        <v>10</v>
      </c>
      <c r="F155" s="1">
        <v>10</v>
      </c>
      <c r="G155" s="1" t="s">
        <v>27</v>
      </c>
      <c r="H155" s="1" t="s">
        <v>28</v>
      </c>
      <c r="I155" s="3">
        <v>40996.446284722224</v>
      </c>
      <c r="J155" s="1">
        <v>1</v>
      </c>
      <c r="K155" s="1">
        <v>0</v>
      </c>
    </row>
    <row r="156" spans="1:11" ht="21.75" customHeight="1">
      <c r="A156" s="2">
        <v>17</v>
      </c>
      <c r="B156" s="1" t="s">
        <v>34</v>
      </c>
      <c r="C156" s="1">
        <v>2012</v>
      </c>
      <c r="D156" s="1" t="s">
        <v>52</v>
      </c>
      <c r="E156" s="1">
        <v>6</v>
      </c>
      <c r="F156" s="1">
        <v>6</v>
      </c>
      <c r="G156" s="1" t="s">
        <v>27</v>
      </c>
      <c r="H156" s="1" t="s">
        <v>28</v>
      </c>
      <c r="I156" s="3">
        <v>41045.644745370373</v>
      </c>
      <c r="J156" s="1">
        <v>1</v>
      </c>
      <c r="K156" s="1">
        <v>0</v>
      </c>
    </row>
    <row r="157" spans="1:11" ht="21.75" customHeight="1">
      <c r="A157" s="2">
        <v>15</v>
      </c>
      <c r="B157" s="1" t="s">
        <v>35</v>
      </c>
      <c r="C157" s="1">
        <v>2012</v>
      </c>
      <c r="D157" s="1" t="s">
        <v>52</v>
      </c>
      <c r="E157" s="1">
        <v>20</v>
      </c>
      <c r="F157" s="1">
        <v>20</v>
      </c>
      <c r="G157" s="1" t="s">
        <v>27</v>
      </c>
      <c r="H157" s="1" t="s">
        <v>28</v>
      </c>
      <c r="I157" s="3">
        <v>41075.585879629631</v>
      </c>
      <c r="J157" s="1">
        <v>1</v>
      </c>
      <c r="K157" s="1">
        <v>0</v>
      </c>
    </row>
    <row r="158" spans="1:11" ht="21.75" customHeight="1">
      <c r="A158" s="2">
        <v>14</v>
      </c>
      <c r="B158" s="1" t="s">
        <v>38</v>
      </c>
      <c r="C158" s="1">
        <v>2012</v>
      </c>
      <c r="D158" s="1" t="s">
        <v>52</v>
      </c>
      <c r="E158" s="1">
        <v>30</v>
      </c>
      <c r="F158" s="1">
        <v>30</v>
      </c>
      <c r="G158" s="1" t="s">
        <v>27</v>
      </c>
      <c r="H158" s="1" t="s">
        <v>28</v>
      </c>
      <c r="I158" s="3">
        <v>41165.744016203702</v>
      </c>
      <c r="J158" s="1">
        <v>1</v>
      </c>
      <c r="K158" s="1">
        <v>0</v>
      </c>
    </row>
    <row r="159" spans="1:11" ht="21.75" customHeight="1">
      <c r="A159" s="2">
        <v>13</v>
      </c>
      <c r="B159" s="1" t="s">
        <v>43</v>
      </c>
      <c r="C159" s="1">
        <v>2012</v>
      </c>
      <c r="D159" s="1" t="s">
        <v>52</v>
      </c>
      <c r="E159" s="1">
        <v>1</v>
      </c>
      <c r="F159" s="1">
        <v>1</v>
      </c>
      <c r="G159" s="1" t="s">
        <v>27</v>
      </c>
      <c r="H159" s="1" t="s">
        <v>33</v>
      </c>
      <c r="I159" s="3">
        <v>41197.625451388885</v>
      </c>
      <c r="J159" s="1">
        <v>1</v>
      </c>
      <c r="K159" s="1">
        <v>0</v>
      </c>
    </row>
    <row r="160" spans="1:11" ht="21.75" customHeight="1">
      <c r="A160" s="2">
        <v>10</v>
      </c>
      <c r="B160" s="1" t="s">
        <v>44</v>
      </c>
      <c r="C160" s="1">
        <v>2012</v>
      </c>
      <c r="D160" s="1" t="s">
        <v>52</v>
      </c>
      <c r="E160" s="1">
        <v>20</v>
      </c>
      <c r="F160" s="1">
        <v>20</v>
      </c>
      <c r="G160" s="1" t="s">
        <v>27</v>
      </c>
      <c r="H160" s="1" t="s">
        <v>28</v>
      </c>
      <c r="I160" s="3">
        <v>41226.773761574077</v>
      </c>
      <c r="J160" s="1">
        <v>1</v>
      </c>
      <c r="K160" s="1">
        <v>0</v>
      </c>
    </row>
    <row r="161" spans="1:11" ht="21.75" customHeight="1">
      <c r="A161" s="2">
        <v>2</v>
      </c>
      <c r="B161" s="1" t="s">
        <v>44</v>
      </c>
      <c r="C161" s="1">
        <v>2012</v>
      </c>
      <c r="D161" s="1" t="s">
        <v>52</v>
      </c>
      <c r="E161" s="1">
        <v>6</v>
      </c>
      <c r="F161" s="1">
        <v>6</v>
      </c>
      <c r="G161" s="1" t="s">
        <v>27</v>
      </c>
      <c r="H161" s="1" t="s">
        <v>28</v>
      </c>
      <c r="I161" s="3">
        <v>41218.431956018518</v>
      </c>
      <c r="J161" s="1">
        <v>1</v>
      </c>
      <c r="K161" s="1">
        <v>0</v>
      </c>
    </row>
    <row r="162" spans="1:11" ht="21.75" customHeight="1">
      <c r="A162" s="2">
        <v>11</v>
      </c>
      <c r="B162" s="1" t="s">
        <v>35</v>
      </c>
      <c r="C162" s="1">
        <v>2012</v>
      </c>
      <c r="D162" s="1" t="s">
        <v>52</v>
      </c>
      <c r="E162" s="1">
        <v>20</v>
      </c>
      <c r="F162" s="1">
        <v>20</v>
      </c>
      <c r="G162" s="1" t="s">
        <v>27</v>
      </c>
      <c r="H162" s="1" t="s">
        <v>28</v>
      </c>
      <c r="I162" s="3">
        <v>41071.356261574074</v>
      </c>
      <c r="J162" s="1">
        <v>1</v>
      </c>
      <c r="K162" s="1">
        <v>0</v>
      </c>
    </row>
    <row r="163" spans="1:11" ht="21.75" customHeight="1">
      <c r="A163" s="2">
        <v>5</v>
      </c>
      <c r="B163" s="1" t="s">
        <v>36</v>
      </c>
      <c r="C163" s="1">
        <v>2012</v>
      </c>
      <c r="D163" s="1" t="s">
        <v>52</v>
      </c>
      <c r="E163" s="1">
        <v>16</v>
      </c>
      <c r="F163" s="1">
        <v>16</v>
      </c>
      <c r="G163" s="1" t="s">
        <v>27</v>
      </c>
      <c r="H163" s="1" t="s">
        <v>33</v>
      </c>
      <c r="I163" s="3">
        <v>41094.649837962963</v>
      </c>
      <c r="J163" s="1">
        <v>1</v>
      </c>
      <c r="K163" s="1">
        <v>0</v>
      </c>
    </row>
    <row r="164" spans="1:11" ht="21.75" customHeight="1">
      <c r="A164" s="2">
        <v>14</v>
      </c>
      <c r="B164" s="1" t="s">
        <v>43</v>
      </c>
      <c r="C164" s="1">
        <v>2012</v>
      </c>
      <c r="D164" s="1" t="s">
        <v>52</v>
      </c>
      <c r="E164" s="1">
        <v>13</v>
      </c>
      <c r="F164" s="1">
        <v>13</v>
      </c>
      <c r="G164" s="1" t="s">
        <v>27</v>
      </c>
      <c r="H164" s="1" t="s">
        <v>33</v>
      </c>
      <c r="I164" s="3">
        <v>41197.603645833333</v>
      </c>
      <c r="J164" s="1">
        <v>1</v>
      </c>
      <c r="K164" s="1">
        <v>0</v>
      </c>
    </row>
    <row r="165" spans="1:11" ht="21.75" customHeight="1">
      <c r="A165" s="2">
        <v>30</v>
      </c>
      <c r="B165" s="1" t="s">
        <v>41</v>
      </c>
      <c r="C165" s="1">
        <v>2012</v>
      </c>
      <c r="D165" s="1" t="s">
        <v>52</v>
      </c>
      <c r="E165" s="1">
        <v>40</v>
      </c>
      <c r="F165" s="1">
        <v>40</v>
      </c>
      <c r="G165" s="1" t="s">
        <v>27</v>
      </c>
      <c r="H165" s="1" t="s">
        <v>33</v>
      </c>
      <c r="I165" s="3">
        <v>40969.45045138889</v>
      </c>
      <c r="J165" s="1">
        <v>1</v>
      </c>
      <c r="K165" s="1">
        <v>0</v>
      </c>
    </row>
    <row r="166" spans="1:11" ht="21.75" customHeight="1">
      <c r="A166" s="2">
        <v>14</v>
      </c>
      <c r="B166" s="1" t="s">
        <v>38</v>
      </c>
      <c r="C166" s="1">
        <v>2012</v>
      </c>
      <c r="D166" s="1" t="s">
        <v>52</v>
      </c>
      <c r="E166" s="1">
        <v>6</v>
      </c>
      <c r="F166" s="1">
        <v>6</v>
      </c>
      <c r="G166" s="1" t="s">
        <v>27</v>
      </c>
      <c r="H166" s="1" t="s">
        <v>28</v>
      </c>
      <c r="I166" s="3">
        <v>41166.455659722225</v>
      </c>
      <c r="J166" s="1">
        <v>1</v>
      </c>
      <c r="K166" s="1">
        <v>0</v>
      </c>
    </row>
    <row r="167" spans="1:11" ht="21.75" customHeight="1">
      <c r="A167" s="2">
        <v>18</v>
      </c>
      <c r="B167" s="1" t="s">
        <v>38</v>
      </c>
      <c r="C167" s="1">
        <v>2012</v>
      </c>
      <c r="D167" s="1" t="s">
        <v>52</v>
      </c>
      <c r="E167" s="1">
        <v>15</v>
      </c>
      <c r="F167" s="1">
        <v>15</v>
      </c>
      <c r="G167" s="1" t="s">
        <v>27</v>
      </c>
      <c r="H167" s="1" t="s">
        <v>33</v>
      </c>
      <c r="I167" s="3">
        <v>41169.639432870368</v>
      </c>
      <c r="J167" s="1">
        <v>1</v>
      </c>
      <c r="K167" s="1">
        <v>0</v>
      </c>
    </row>
    <row r="168" spans="1:11" ht="21.75" customHeight="1">
      <c r="A168" s="2">
        <v>22</v>
      </c>
      <c r="B168" s="1" t="s">
        <v>38</v>
      </c>
      <c r="C168" s="1">
        <v>2012</v>
      </c>
      <c r="D168" s="1" t="s">
        <v>52</v>
      </c>
      <c r="E168" s="1">
        <v>10</v>
      </c>
      <c r="F168" s="1">
        <v>10</v>
      </c>
      <c r="G168" s="1" t="s">
        <v>27</v>
      </c>
      <c r="H168" s="1" t="s">
        <v>33</v>
      </c>
      <c r="I168" s="3">
        <v>41173.452523148146</v>
      </c>
      <c r="J168" s="1">
        <v>1</v>
      </c>
      <c r="K168" s="1">
        <v>0</v>
      </c>
    </row>
    <row r="169" spans="1:11" ht="21.75" customHeight="1">
      <c r="A169" s="2">
        <v>14</v>
      </c>
      <c r="B169" s="1" t="s">
        <v>36</v>
      </c>
      <c r="C169" s="1">
        <v>2012</v>
      </c>
      <c r="D169" s="1" t="s">
        <v>52</v>
      </c>
      <c r="E169" s="1">
        <v>10</v>
      </c>
      <c r="F169" s="1">
        <v>0</v>
      </c>
      <c r="G169" s="1" t="s">
        <v>27</v>
      </c>
      <c r="H169" s="1" t="s">
        <v>33</v>
      </c>
      <c r="I169" s="3">
        <v>41106.656087962961</v>
      </c>
      <c r="J169" s="1">
        <v>1</v>
      </c>
      <c r="K169" s="1">
        <v>0</v>
      </c>
    </row>
    <row r="170" spans="1:11" ht="21.75" customHeight="1">
      <c r="A170" s="2">
        <v>11</v>
      </c>
      <c r="B170" s="1" t="s">
        <v>37</v>
      </c>
      <c r="C170" s="1">
        <v>2012</v>
      </c>
      <c r="D170" s="1" t="s">
        <v>52</v>
      </c>
      <c r="E170" s="1">
        <v>5</v>
      </c>
      <c r="F170" s="1">
        <v>5</v>
      </c>
      <c r="G170" s="1" t="s">
        <v>27</v>
      </c>
      <c r="H170" s="1" t="s">
        <v>33</v>
      </c>
      <c r="I170" s="3">
        <v>41135.652118055557</v>
      </c>
      <c r="J170" s="1">
        <v>1</v>
      </c>
      <c r="K170" s="1">
        <v>0</v>
      </c>
    </row>
    <row r="171" spans="1:11" ht="21.75" customHeight="1">
      <c r="A171" s="2">
        <v>5</v>
      </c>
      <c r="B171" s="1" t="s">
        <v>36</v>
      </c>
      <c r="C171" s="1">
        <v>2012</v>
      </c>
      <c r="D171" s="1" t="s">
        <v>52</v>
      </c>
      <c r="E171" s="1">
        <v>2</v>
      </c>
      <c r="F171" s="1">
        <v>0</v>
      </c>
      <c r="G171" s="1" t="s">
        <v>27</v>
      </c>
      <c r="H171" s="1" t="s">
        <v>33</v>
      </c>
      <c r="I171" s="3">
        <v>41094.649837962963</v>
      </c>
      <c r="J171" s="1">
        <v>0</v>
      </c>
      <c r="K171" s="1">
        <v>2</v>
      </c>
    </row>
    <row r="172" spans="1:11" ht="21.75" customHeight="1">
      <c r="A172" s="2">
        <v>14</v>
      </c>
      <c r="B172" s="1" t="s">
        <v>43</v>
      </c>
      <c r="C172" s="1">
        <v>2012</v>
      </c>
      <c r="D172" s="1" t="s">
        <v>52</v>
      </c>
      <c r="E172" s="1">
        <v>62</v>
      </c>
      <c r="F172" s="1">
        <v>0</v>
      </c>
      <c r="G172" s="1" t="s">
        <v>27</v>
      </c>
      <c r="H172" s="1" t="s">
        <v>33</v>
      </c>
      <c r="I172" s="3">
        <v>41197.603645833333</v>
      </c>
      <c r="J172" s="1">
        <v>0</v>
      </c>
      <c r="K172" s="1">
        <v>2</v>
      </c>
    </row>
    <row r="173" spans="1:11" ht="21.75" customHeight="1">
      <c r="A173" s="2">
        <v>19</v>
      </c>
      <c r="B173" s="1" t="s">
        <v>41</v>
      </c>
      <c r="C173" s="1">
        <v>2012</v>
      </c>
      <c r="D173" s="1" t="s">
        <v>53</v>
      </c>
      <c r="E173" s="1">
        <v>10</v>
      </c>
      <c r="F173" s="1">
        <v>10</v>
      </c>
      <c r="G173" s="1" t="s">
        <v>27</v>
      </c>
      <c r="H173" s="1" t="s">
        <v>28</v>
      </c>
      <c r="I173" s="3">
        <v>40961.56758101852</v>
      </c>
      <c r="J173" s="1">
        <v>1</v>
      </c>
      <c r="K173" s="1">
        <v>0</v>
      </c>
    </row>
    <row r="174" spans="1:11" ht="21.75" customHeight="1">
      <c r="A174" s="2">
        <v>3</v>
      </c>
      <c r="B174" s="1" t="s">
        <v>32</v>
      </c>
      <c r="C174" s="1">
        <v>2012</v>
      </c>
      <c r="D174" s="1" t="s">
        <v>53</v>
      </c>
      <c r="E174" s="1">
        <v>2</v>
      </c>
      <c r="F174" s="1">
        <v>2</v>
      </c>
      <c r="G174" s="1" t="s">
        <v>27</v>
      </c>
      <c r="H174" s="1" t="s">
        <v>33</v>
      </c>
      <c r="I174" s="3">
        <v>41001.635381944441</v>
      </c>
      <c r="J174" s="1">
        <v>1</v>
      </c>
      <c r="K174" s="1">
        <v>0</v>
      </c>
    </row>
    <row r="175" spans="1:11" ht="21.75" customHeight="1">
      <c r="A175" s="2">
        <v>17</v>
      </c>
      <c r="B175" s="1" t="s">
        <v>34</v>
      </c>
      <c r="C175" s="1">
        <v>2012</v>
      </c>
      <c r="D175" s="1" t="s">
        <v>53</v>
      </c>
      <c r="E175" s="1">
        <v>6</v>
      </c>
      <c r="F175" s="1">
        <v>0</v>
      </c>
      <c r="G175" s="1" t="s">
        <v>27</v>
      </c>
      <c r="H175" s="1" t="s">
        <v>33</v>
      </c>
      <c r="I175" s="3">
        <v>41053.523564814815</v>
      </c>
      <c r="J175" s="1">
        <v>1</v>
      </c>
      <c r="K175" s="1">
        <v>0</v>
      </c>
    </row>
    <row r="176" spans="1:11" ht="21.75" customHeight="1">
      <c r="A176" s="2">
        <v>26</v>
      </c>
      <c r="B176" s="1" t="s">
        <v>34</v>
      </c>
      <c r="C176" s="1">
        <v>2012</v>
      </c>
      <c r="D176" s="1" t="s">
        <v>53</v>
      </c>
      <c r="E176" s="1">
        <v>10</v>
      </c>
      <c r="F176" s="1">
        <v>0</v>
      </c>
      <c r="G176" s="1" t="s">
        <v>27</v>
      </c>
      <c r="H176" s="1" t="s">
        <v>33</v>
      </c>
      <c r="I176" s="3">
        <v>41055.394895833335</v>
      </c>
      <c r="J176" s="1">
        <v>1</v>
      </c>
      <c r="K176" s="1">
        <v>0</v>
      </c>
    </row>
    <row r="177" spans="1:11" ht="21.75" customHeight="1">
      <c r="A177" s="2">
        <v>12</v>
      </c>
      <c r="B177" s="1" t="s">
        <v>35</v>
      </c>
      <c r="C177" s="1">
        <v>2012</v>
      </c>
      <c r="D177" s="1" t="s">
        <v>53</v>
      </c>
      <c r="E177" s="1">
        <v>6</v>
      </c>
      <c r="F177" s="1">
        <v>0</v>
      </c>
      <c r="G177" s="1" t="s">
        <v>27</v>
      </c>
      <c r="H177" s="1" t="s">
        <v>33</v>
      </c>
      <c r="I177" s="3">
        <v>41072.467164351852</v>
      </c>
      <c r="J177" s="1">
        <v>1</v>
      </c>
      <c r="K177" s="1">
        <v>0</v>
      </c>
    </row>
    <row r="178" spans="1:11" ht="21.75" customHeight="1">
      <c r="A178" s="2">
        <v>15</v>
      </c>
      <c r="B178" s="1" t="s">
        <v>37</v>
      </c>
      <c r="C178" s="1">
        <v>2012</v>
      </c>
      <c r="D178" s="1" t="s">
        <v>53</v>
      </c>
      <c r="E178" s="1">
        <v>20</v>
      </c>
      <c r="F178" s="1">
        <v>0</v>
      </c>
      <c r="G178" s="1" t="s">
        <v>27</v>
      </c>
      <c r="H178" s="1" t="s">
        <v>33</v>
      </c>
      <c r="I178" s="3">
        <v>41136.403124999997</v>
      </c>
      <c r="J178" s="1">
        <v>1</v>
      </c>
      <c r="K178" s="1">
        <v>0</v>
      </c>
    </row>
    <row r="179" spans="1:11" ht="21.75" customHeight="1">
      <c r="A179" s="2">
        <v>13</v>
      </c>
      <c r="B179" s="1" t="s">
        <v>43</v>
      </c>
      <c r="C179" s="1">
        <v>2012</v>
      </c>
      <c r="D179" s="1" t="s">
        <v>53</v>
      </c>
      <c r="E179" s="1">
        <v>1</v>
      </c>
      <c r="F179" s="1">
        <v>0</v>
      </c>
      <c r="G179" s="1" t="s">
        <v>27</v>
      </c>
      <c r="H179" s="1" t="s">
        <v>33</v>
      </c>
      <c r="I179" s="3">
        <v>41197.625451388885</v>
      </c>
      <c r="J179" s="1">
        <v>1</v>
      </c>
      <c r="K179" s="1">
        <v>0</v>
      </c>
    </row>
    <row r="180" spans="1:11" ht="21.75" customHeight="1">
      <c r="A180" s="2">
        <v>24</v>
      </c>
      <c r="B180" s="1" t="s">
        <v>44</v>
      </c>
      <c r="C180" s="1">
        <v>2012</v>
      </c>
      <c r="D180" s="1" t="s">
        <v>53</v>
      </c>
      <c r="E180" s="1">
        <v>8</v>
      </c>
      <c r="F180" s="1">
        <v>0</v>
      </c>
      <c r="G180" s="1" t="s">
        <v>27</v>
      </c>
      <c r="H180" s="1" t="s">
        <v>33</v>
      </c>
      <c r="I180" s="3">
        <v>41236.634120370371</v>
      </c>
      <c r="J180" s="1">
        <v>1</v>
      </c>
      <c r="K180" s="1">
        <v>0</v>
      </c>
    </row>
    <row r="181" spans="1:11" ht="21.75" customHeight="1">
      <c r="A181" s="2">
        <v>10</v>
      </c>
      <c r="B181" s="1" t="s">
        <v>41</v>
      </c>
      <c r="C181" s="1">
        <v>2012</v>
      </c>
      <c r="D181" s="1" t="s">
        <v>53</v>
      </c>
      <c r="E181" s="1">
        <v>10</v>
      </c>
      <c r="F181" s="1">
        <v>10</v>
      </c>
      <c r="G181" s="1" t="s">
        <v>27</v>
      </c>
      <c r="H181" s="1" t="s">
        <v>28</v>
      </c>
      <c r="I181" s="3">
        <v>40949.687256944446</v>
      </c>
      <c r="J181" s="1">
        <v>1</v>
      </c>
      <c r="K181" s="1">
        <v>0</v>
      </c>
    </row>
    <row r="182" spans="1:11" ht="21.75" customHeight="1">
      <c r="A182" s="2">
        <v>3</v>
      </c>
      <c r="B182" s="1" t="s">
        <v>32</v>
      </c>
      <c r="C182" s="1">
        <v>2012</v>
      </c>
      <c r="D182" s="1" t="s">
        <v>53</v>
      </c>
      <c r="E182" s="1">
        <v>2</v>
      </c>
      <c r="F182" s="1">
        <v>0</v>
      </c>
      <c r="G182" s="1" t="s">
        <v>27</v>
      </c>
      <c r="H182" s="1" t="s">
        <v>33</v>
      </c>
      <c r="I182" s="3">
        <v>41001.635381944441</v>
      </c>
      <c r="J182" s="1">
        <v>0</v>
      </c>
      <c r="K182" s="1">
        <v>2</v>
      </c>
    </row>
    <row r="183" spans="1:11" ht="21.75" customHeight="1">
      <c r="A183" s="2">
        <v>10</v>
      </c>
      <c r="B183" s="1" t="s">
        <v>25</v>
      </c>
      <c r="C183" s="1">
        <v>2012</v>
      </c>
      <c r="D183" s="1" t="s">
        <v>54</v>
      </c>
      <c r="E183" s="1">
        <v>3</v>
      </c>
      <c r="F183" s="1">
        <v>3</v>
      </c>
      <c r="G183" s="1" t="s">
        <v>27</v>
      </c>
      <c r="H183" s="1" t="s">
        <v>28</v>
      </c>
      <c r="I183" s="3">
        <v>40359.450335648151</v>
      </c>
      <c r="J183" s="1">
        <v>1</v>
      </c>
      <c r="K183" s="1">
        <v>0</v>
      </c>
    </row>
    <row r="184" spans="1:11" ht="21.75" customHeight="1">
      <c r="A184" s="2">
        <v>8</v>
      </c>
      <c r="B184" s="1" t="s">
        <v>25</v>
      </c>
      <c r="C184" s="1">
        <v>2012</v>
      </c>
      <c r="D184" s="1" t="s">
        <v>54</v>
      </c>
      <c r="E184" s="1">
        <v>1</v>
      </c>
      <c r="F184" s="1">
        <v>1</v>
      </c>
      <c r="G184" s="1" t="s">
        <v>27</v>
      </c>
      <c r="H184" s="1" t="s">
        <v>28</v>
      </c>
      <c r="I184" s="3">
        <v>40917.53565972222</v>
      </c>
      <c r="J184" s="1">
        <v>1</v>
      </c>
      <c r="K184" s="1">
        <v>0</v>
      </c>
    </row>
    <row r="185" spans="1:11" ht="21.75" customHeight="1">
      <c r="A185" s="2">
        <v>8</v>
      </c>
      <c r="B185" s="1" t="s">
        <v>25</v>
      </c>
      <c r="C185" s="1">
        <v>2012</v>
      </c>
      <c r="D185" s="1" t="s">
        <v>54</v>
      </c>
      <c r="E185" s="1">
        <v>4</v>
      </c>
      <c r="F185" s="1">
        <v>4</v>
      </c>
      <c r="G185" s="1" t="s">
        <v>27</v>
      </c>
      <c r="H185" s="1" t="s">
        <v>28</v>
      </c>
      <c r="I185" s="3">
        <v>40917.592060185183</v>
      </c>
      <c r="J185" s="1">
        <v>1</v>
      </c>
      <c r="K185" s="1">
        <v>0</v>
      </c>
    </row>
    <row r="186" spans="1:11" ht="21.75" customHeight="1">
      <c r="A186" s="2">
        <v>10</v>
      </c>
      <c r="B186" s="1" t="s">
        <v>25</v>
      </c>
      <c r="C186" s="1">
        <v>2012</v>
      </c>
      <c r="D186" s="1" t="s">
        <v>54</v>
      </c>
      <c r="E186" s="1">
        <v>3</v>
      </c>
      <c r="F186" s="1">
        <v>0</v>
      </c>
      <c r="G186" s="1" t="s">
        <v>27</v>
      </c>
      <c r="H186" s="1" t="s">
        <v>33</v>
      </c>
      <c r="I186" s="3">
        <v>40917.638599537036</v>
      </c>
      <c r="J186" s="1">
        <v>1</v>
      </c>
      <c r="K186" s="1">
        <v>0</v>
      </c>
    </row>
    <row r="187" spans="1:11" ht="21.75" customHeight="1">
      <c r="A187" s="2">
        <v>19</v>
      </c>
      <c r="B187" s="1" t="s">
        <v>25</v>
      </c>
      <c r="C187" s="1">
        <v>2012</v>
      </c>
      <c r="D187" s="1" t="s">
        <v>54</v>
      </c>
      <c r="E187" s="1">
        <v>1</v>
      </c>
      <c r="F187" s="1">
        <v>0</v>
      </c>
      <c r="G187" s="1" t="s">
        <v>27</v>
      </c>
      <c r="H187" s="1" t="s">
        <v>33</v>
      </c>
      <c r="I187" s="3">
        <v>40927.491967592592</v>
      </c>
      <c r="J187" s="1">
        <v>1</v>
      </c>
      <c r="K187" s="1">
        <v>0</v>
      </c>
    </row>
    <row r="188" spans="1:11" ht="21.75" customHeight="1">
      <c r="A188" s="2">
        <v>25</v>
      </c>
      <c r="B188" s="1" t="s">
        <v>25</v>
      </c>
      <c r="C188" s="1">
        <v>2012</v>
      </c>
      <c r="D188" s="1" t="s">
        <v>54</v>
      </c>
      <c r="E188" s="1">
        <v>1</v>
      </c>
      <c r="F188" s="1">
        <v>0</v>
      </c>
      <c r="G188" s="1" t="s">
        <v>27</v>
      </c>
      <c r="H188" s="1" t="s">
        <v>33</v>
      </c>
      <c r="I188" s="3">
        <v>40933.376689814817</v>
      </c>
      <c r="J188" s="1">
        <v>1</v>
      </c>
      <c r="K188" s="1">
        <v>0</v>
      </c>
    </row>
    <row r="189" spans="1:11" ht="21.75" customHeight="1">
      <c r="A189" s="2">
        <v>2</v>
      </c>
      <c r="B189" s="1" t="s">
        <v>41</v>
      </c>
      <c r="C189" s="1">
        <v>2012</v>
      </c>
      <c r="D189" s="1" t="s">
        <v>54</v>
      </c>
      <c r="E189" s="1">
        <v>2</v>
      </c>
      <c r="F189" s="1">
        <v>2</v>
      </c>
      <c r="G189" s="1" t="s">
        <v>27</v>
      </c>
      <c r="H189" s="1" t="s">
        <v>28</v>
      </c>
      <c r="I189" s="3">
        <v>40940.608101851853</v>
      </c>
      <c r="J189" s="1">
        <v>1</v>
      </c>
      <c r="K189" s="1">
        <v>0</v>
      </c>
    </row>
    <row r="190" spans="1:11" ht="21.75" customHeight="1">
      <c r="A190" s="2">
        <v>4</v>
      </c>
      <c r="B190" s="1" t="s">
        <v>41</v>
      </c>
      <c r="C190" s="1">
        <v>2012</v>
      </c>
      <c r="D190" s="1" t="s">
        <v>54</v>
      </c>
      <c r="E190" s="1">
        <v>2</v>
      </c>
      <c r="F190" s="1">
        <v>2</v>
      </c>
      <c r="G190" s="1" t="s">
        <v>27</v>
      </c>
      <c r="H190" s="1" t="s">
        <v>28</v>
      </c>
      <c r="I190" s="3">
        <v>40945.469618055555</v>
      </c>
      <c r="J190" s="1">
        <v>1</v>
      </c>
      <c r="K190" s="1">
        <v>0</v>
      </c>
    </row>
    <row r="191" spans="1:11" ht="21.75" customHeight="1">
      <c r="A191" s="2">
        <v>7</v>
      </c>
      <c r="B191" s="1" t="s">
        <v>41</v>
      </c>
      <c r="C191" s="1">
        <v>2012</v>
      </c>
      <c r="D191" s="1" t="s">
        <v>54</v>
      </c>
      <c r="E191" s="1">
        <v>2</v>
      </c>
      <c r="F191" s="1">
        <v>2</v>
      </c>
      <c r="G191" s="1" t="s">
        <v>27</v>
      </c>
      <c r="H191" s="1" t="s">
        <v>28</v>
      </c>
      <c r="I191" s="3">
        <v>40946.423888888887</v>
      </c>
      <c r="J191" s="1">
        <v>1</v>
      </c>
      <c r="K191" s="1">
        <v>0</v>
      </c>
    </row>
    <row r="192" spans="1:11" ht="21.75" customHeight="1">
      <c r="A192" s="2">
        <v>16</v>
      </c>
      <c r="B192" s="1" t="s">
        <v>41</v>
      </c>
      <c r="C192" s="1">
        <v>2012</v>
      </c>
      <c r="D192" s="1" t="s">
        <v>54</v>
      </c>
      <c r="E192" s="1">
        <v>2</v>
      </c>
      <c r="F192" s="1">
        <v>2</v>
      </c>
      <c r="G192" s="1" t="s">
        <v>27</v>
      </c>
      <c r="H192" s="1" t="s">
        <v>28</v>
      </c>
      <c r="I192" s="3">
        <v>40955.485879629632</v>
      </c>
      <c r="J192" s="1">
        <v>1</v>
      </c>
      <c r="K192" s="1">
        <v>0</v>
      </c>
    </row>
    <row r="193" spans="1:11" ht="21.75" customHeight="1">
      <c r="A193" s="2">
        <v>17</v>
      </c>
      <c r="B193" s="1" t="s">
        <v>41</v>
      </c>
      <c r="C193" s="1">
        <v>2012</v>
      </c>
      <c r="D193" s="1" t="s">
        <v>54</v>
      </c>
      <c r="E193" s="1">
        <v>2</v>
      </c>
      <c r="F193" s="1">
        <v>2</v>
      </c>
      <c r="G193" s="1" t="s">
        <v>27</v>
      </c>
      <c r="H193" s="1" t="s">
        <v>28</v>
      </c>
      <c r="I193" s="3">
        <v>40955.617280092592</v>
      </c>
      <c r="J193" s="1">
        <v>1</v>
      </c>
      <c r="K193" s="1">
        <v>0</v>
      </c>
    </row>
    <row r="194" spans="1:11" ht="21.75" customHeight="1">
      <c r="A194" s="2">
        <v>19</v>
      </c>
      <c r="B194" s="1" t="s">
        <v>41</v>
      </c>
      <c r="C194" s="1">
        <v>2012</v>
      </c>
      <c r="D194" s="1" t="s">
        <v>54</v>
      </c>
      <c r="E194" s="1">
        <v>3</v>
      </c>
      <c r="F194" s="1">
        <v>3</v>
      </c>
      <c r="G194" s="1" t="s">
        <v>27</v>
      </c>
      <c r="H194" s="1" t="s">
        <v>28</v>
      </c>
      <c r="I194" s="3">
        <v>40961.565868055557</v>
      </c>
      <c r="J194" s="1">
        <v>1</v>
      </c>
      <c r="K194" s="1">
        <v>0</v>
      </c>
    </row>
    <row r="195" spans="1:11" ht="21.75" customHeight="1">
      <c r="A195" s="2">
        <v>21</v>
      </c>
      <c r="B195" s="1" t="s">
        <v>41</v>
      </c>
      <c r="C195" s="1">
        <v>2012</v>
      </c>
      <c r="D195" s="1" t="s">
        <v>54</v>
      </c>
      <c r="E195" s="1">
        <v>1</v>
      </c>
      <c r="F195" s="1">
        <v>1</v>
      </c>
      <c r="G195" s="1" t="s">
        <v>27</v>
      </c>
      <c r="H195" s="1" t="s">
        <v>33</v>
      </c>
      <c r="I195" s="3">
        <v>40961.62537037037</v>
      </c>
      <c r="J195" s="1">
        <v>1</v>
      </c>
      <c r="K195" s="1">
        <v>0</v>
      </c>
    </row>
    <row r="196" spans="1:11" ht="21.75" customHeight="1">
      <c r="A196" s="2">
        <v>28</v>
      </c>
      <c r="B196" s="1" t="s">
        <v>41</v>
      </c>
      <c r="C196" s="1">
        <v>2012</v>
      </c>
      <c r="D196" s="1" t="s">
        <v>54</v>
      </c>
      <c r="E196" s="1">
        <v>2</v>
      </c>
      <c r="F196" s="1">
        <v>2</v>
      </c>
      <c r="G196" s="1" t="s">
        <v>27</v>
      </c>
      <c r="H196" s="1" t="s">
        <v>28</v>
      </c>
      <c r="I196" s="3">
        <v>40967.337824074071</v>
      </c>
      <c r="J196" s="1">
        <v>1</v>
      </c>
      <c r="K196" s="1">
        <v>0</v>
      </c>
    </row>
    <row r="197" spans="1:11" ht="21.75" customHeight="1">
      <c r="A197" s="2">
        <v>30</v>
      </c>
      <c r="B197" s="1" t="s">
        <v>41</v>
      </c>
      <c r="C197" s="1">
        <v>2012</v>
      </c>
      <c r="D197" s="1" t="s">
        <v>54</v>
      </c>
      <c r="E197" s="1">
        <v>2</v>
      </c>
      <c r="F197" s="1">
        <v>2</v>
      </c>
      <c r="G197" s="1" t="s">
        <v>27</v>
      </c>
      <c r="H197" s="1" t="s">
        <v>28</v>
      </c>
      <c r="I197" s="3">
        <v>40968.682395833333</v>
      </c>
      <c r="J197" s="1">
        <v>1</v>
      </c>
      <c r="K197" s="1">
        <v>0</v>
      </c>
    </row>
    <row r="198" spans="1:11" ht="21.75" customHeight="1">
      <c r="A198" s="2">
        <v>15</v>
      </c>
      <c r="B198" s="1" t="s">
        <v>31</v>
      </c>
      <c r="C198" s="1">
        <v>2012</v>
      </c>
      <c r="D198" s="1" t="s">
        <v>54</v>
      </c>
      <c r="E198" s="1">
        <v>1</v>
      </c>
      <c r="F198" s="1">
        <v>1</v>
      </c>
      <c r="G198" s="1" t="s">
        <v>27</v>
      </c>
      <c r="H198" s="1" t="s">
        <v>28</v>
      </c>
      <c r="I198" s="3">
        <v>40982.612627314818</v>
      </c>
      <c r="J198" s="1">
        <v>1</v>
      </c>
      <c r="K198" s="1">
        <v>0</v>
      </c>
    </row>
    <row r="199" spans="1:11" ht="21.75" customHeight="1">
      <c r="A199" s="2">
        <v>16</v>
      </c>
      <c r="B199" s="1" t="s">
        <v>31</v>
      </c>
      <c r="C199" s="1">
        <v>2012</v>
      </c>
      <c r="D199" s="1" t="s">
        <v>54</v>
      </c>
      <c r="E199" s="1">
        <v>1</v>
      </c>
      <c r="F199" s="1">
        <v>1</v>
      </c>
      <c r="G199" s="1" t="s">
        <v>27</v>
      </c>
      <c r="H199" s="1" t="s">
        <v>28</v>
      </c>
      <c r="I199" s="3">
        <v>40984.729201388887</v>
      </c>
      <c r="J199" s="1">
        <v>1</v>
      </c>
      <c r="K199" s="1">
        <v>0</v>
      </c>
    </row>
    <row r="200" spans="1:11" ht="21.75" customHeight="1">
      <c r="A200" s="2">
        <v>24</v>
      </c>
      <c r="B200" s="1" t="s">
        <v>31</v>
      </c>
      <c r="C200" s="1">
        <v>2012</v>
      </c>
      <c r="D200" s="1" t="s">
        <v>54</v>
      </c>
      <c r="E200" s="1">
        <v>4</v>
      </c>
      <c r="F200" s="1">
        <v>4</v>
      </c>
      <c r="G200" s="1" t="s">
        <v>27</v>
      </c>
      <c r="H200" s="1" t="s">
        <v>33</v>
      </c>
      <c r="I200" s="3">
        <v>40992.425474537034</v>
      </c>
      <c r="J200" s="1">
        <v>1</v>
      </c>
      <c r="K200" s="1">
        <v>0</v>
      </c>
    </row>
    <row r="201" spans="1:11" ht="21.75" customHeight="1">
      <c r="A201" s="2">
        <v>3</v>
      </c>
      <c r="B201" s="1" t="s">
        <v>32</v>
      </c>
      <c r="C201" s="1">
        <v>2012</v>
      </c>
      <c r="D201" s="1" t="s">
        <v>54</v>
      </c>
      <c r="E201" s="1">
        <v>5</v>
      </c>
      <c r="F201" s="1">
        <v>0</v>
      </c>
      <c r="G201" s="1" t="s">
        <v>27</v>
      </c>
      <c r="H201" s="1" t="s">
        <v>33</v>
      </c>
      <c r="I201" s="3">
        <v>41001.593425925923</v>
      </c>
      <c r="J201" s="1">
        <v>1</v>
      </c>
      <c r="K201" s="1">
        <v>0</v>
      </c>
    </row>
    <row r="202" spans="1:11" ht="21.75" customHeight="1">
      <c r="A202" s="2">
        <v>3</v>
      </c>
      <c r="B202" s="1" t="s">
        <v>32</v>
      </c>
      <c r="C202" s="1">
        <v>2012</v>
      </c>
      <c r="D202" s="1" t="s">
        <v>54</v>
      </c>
      <c r="E202" s="1">
        <v>10</v>
      </c>
      <c r="F202" s="1">
        <v>0</v>
      </c>
      <c r="G202" s="1" t="s">
        <v>27</v>
      </c>
      <c r="H202" s="1" t="s">
        <v>33</v>
      </c>
      <c r="I202" s="3">
        <v>41002.432581018518</v>
      </c>
      <c r="J202" s="1">
        <v>1</v>
      </c>
      <c r="K202" s="1">
        <v>0</v>
      </c>
    </row>
    <row r="203" spans="1:11" ht="21.75" customHeight="1">
      <c r="A203" s="2">
        <v>19</v>
      </c>
      <c r="B203" s="1" t="s">
        <v>32</v>
      </c>
      <c r="C203" s="1">
        <v>2012</v>
      </c>
      <c r="D203" s="1" t="s">
        <v>54</v>
      </c>
      <c r="E203" s="1">
        <v>3</v>
      </c>
      <c r="F203" s="1">
        <v>3</v>
      </c>
      <c r="G203" s="1" t="s">
        <v>27</v>
      </c>
      <c r="H203" s="1" t="s">
        <v>28</v>
      </c>
      <c r="I203" s="3">
        <v>41017.625601851854</v>
      </c>
      <c r="J203" s="1">
        <v>1</v>
      </c>
      <c r="K203" s="1">
        <v>0</v>
      </c>
    </row>
    <row r="204" spans="1:11" ht="21.75" customHeight="1">
      <c r="A204" s="2">
        <v>23</v>
      </c>
      <c r="B204" s="1" t="s">
        <v>32</v>
      </c>
      <c r="C204" s="1">
        <v>2012</v>
      </c>
      <c r="D204" s="1" t="s">
        <v>54</v>
      </c>
      <c r="E204" s="1">
        <v>5</v>
      </c>
      <c r="F204" s="1">
        <v>5</v>
      </c>
      <c r="G204" s="1" t="s">
        <v>27</v>
      </c>
      <c r="H204" s="1" t="s">
        <v>28</v>
      </c>
      <c r="I204" s="3">
        <v>41023.433321759258</v>
      </c>
      <c r="J204" s="1">
        <v>1</v>
      </c>
      <c r="K204" s="1">
        <v>0</v>
      </c>
    </row>
    <row r="205" spans="1:11" ht="21.75" customHeight="1">
      <c r="A205" s="2">
        <v>25</v>
      </c>
      <c r="B205" s="1" t="s">
        <v>32</v>
      </c>
      <c r="C205" s="1">
        <v>2012</v>
      </c>
      <c r="D205" s="1" t="s">
        <v>54</v>
      </c>
      <c r="E205" s="1">
        <v>1</v>
      </c>
      <c r="F205" s="1">
        <v>1</v>
      </c>
      <c r="G205" s="1" t="s">
        <v>27</v>
      </c>
      <c r="H205" s="1" t="s">
        <v>28</v>
      </c>
      <c r="I205" s="3">
        <v>41024.467905092592</v>
      </c>
      <c r="J205" s="1">
        <v>1</v>
      </c>
      <c r="K205" s="1">
        <v>0</v>
      </c>
    </row>
    <row r="206" spans="1:11" ht="21.75" customHeight="1">
      <c r="A206" s="2">
        <v>26</v>
      </c>
      <c r="B206" s="1" t="s">
        <v>32</v>
      </c>
      <c r="C206" s="1">
        <v>2012</v>
      </c>
      <c r="D206" s="1" t="s">
        <v>54</v>
      </c>
      <c r="E206" s="1">
        <v>5</v>
      </c>
      <c r="F206" s="1">
        <v>5</v>
      </c>
      <c r="G206" s="1" t="s">
        <v>27</v>
      </c>
      <c r="H206" s="1" t="s">
        <v>28</v>
      </c>
      <c r="I206" s="3">
        <v>41025.424224537041</v>
      </c>
      <c r="J206" s="1">
        <v>1</v>
      </c>
      <c r="K206" s="1">
        <v>0</v>
      </c>
    </row>
    <row r="207" spans="1:11" ht="21.75" customHeight="1">
      <c r="A207" s="2">
        <v>3</v>
      </c>
      <c r="B207" s="1" t="s">
        <v>34</v>
      </c>
      <c r="C207" s="1">
        <v>2012</v>
      </c>
      <c r="D207" s="1" t="s">
        <v>54</v>
      </c>
      <c r="E207" s="1">
        <v>2</v>
      </c>
      <c r="F207" s="1">
        <v>2</v>
      </c>
      <c r="G207" s="1" t="s">
        <v>27</v>
      </c>
      <c r="H207" s="1" t="s">
        <v>28</v>
      </c>
      <c r="I207" s="3">
        <v>41031.610173611109</v>
      </c>
      <c r="J207" s="1">
        <v>1</v>
      </c>
      <c r="K207" s="1">
        <v>0</v>
      </c>
    </row>
    <row r="208" spans="1:11" ht="21.75" customHeight="1">
      <c r="A208" s="2">
        <v>5</v>
      </c>
      <c r="B208" s="1" t="s">
        <v>34</v>
      </c>
      <c r="C208" s="1">
        <v>2012</v>
      </c>
      <c r="D208" s="1" t="s">
        <v>54</v>
      </c>
      <c r="E208" s="1">
        <v>2</v>
      </c>
      <c r="F208" s="1">
        <v>2</v>
      </c>
      <c r="G208" s="1" t="s">
        <v>27</v>
      </c>
      <c r="H208" s="1" t="s">
        <v>28</v>
      </c>
      <c r="I208" s="3">
        <v>41033.604270833333</v>
      </c>
      <c r="J208" s="1">
        <v>1</v>
      </c>
      <c r="K208" s="1">
        <v>0</v>
      </c>
    </row>
    <row r="209" spans="1:11" ht="21.75" customHeight="1">
      <c r="A209" s="2">
        <v>9</v>
      </c>
      <c r="B209" s="1" t="s">
        <v>34</v>
      </c>
      <c r="C209" s="1">
        <v>2012</v>
      </c>
      <c r="D209" s="1" t="s">
        <v>54</v>
      </c>
      <c r="E209" s="1">
        <v>4</v>
      </c>
      <c r="F209" s="1">
        <v>4</v>
      </c>
      <c r="G209" s="1" t="s">
        <v>27</v>
      </c>
      <c r="H209" s="1" t="s">
        <v>28</v>
      </c>
      <c r="I209" s="3">
        <v>41038.3203125</v>
      </c>
      <c r="J209" s="1">
        <v>1</v>
      </c>
      <c r="K209" s="1">
        <v>0</v>
      </c>
    </row>
    <row r="210" spans="1:11" ht="21.75" customHeight="1">
      <c r="A210" s="2">
        <v>9</v>
      </c>
      <c r="B210" s="1" t="s">
        <v>34</v>
      </c>
      <c r="C210" s="1">
        <v>2012</v>
      </c>
      <c r="D210" s="1" t="s">
        <v>54</v>
      </c>
      <c r="E210" s="1">
        <v>3</v>
      </c>
      <c r="F210" s="1">
        <v>3</v>
      </c>
      <c r="G210" s="1" t="s">
        <v>27</v>
      </c>
      <c r="H210" s="1" t="s">
        <v>28</v>
      </c>
      <c r="I210" s="3">
        <v>41038.350590277776</v>
      </c>
      <c r="J210" s="1">
        <v>1</v>
      </c>
      <c r="K210" s="1">
        <v>0</v>
      </c>
    </row>
    <row r="211" spans="1:11" ht="21.75" customHeight="1">
      <c r="A211" s="2">
        <v>9</v>
      </c>
      <c r="B211" s="1" t="s">
        <v>34</v>
      </c>
      <c r="C211" s="1">
        <v>2012</v>
      </c>
      <c r="D211" s="1" t="s">
        <v>54</v>
      </c>
      <c r="E211" s="1">
        <v>1</v>
      </c>
      <c r="F211" s="1">
        <v>1</v>
      </c>
      <c r="G211" s="1" t="s">
        <v>27</v>
      </c>
      <c r="H211" s="1" t="s">
        <v>28</v>
      </c>
      <c r="I211" s="3">
        <v>41038.334490740737</v>
      </c>
      <c r="J211" s="1">
        <v>1</v>
      </c>
      <c r="K211" s="1">
        <v>0</v>
      </c>
    </row>
    <row r="212" spans="1:11" ht="21.75" customHeight="1">
      <c r="A212" s="2">
        <v>26</v>
      </c>
      <c r="B212" s="1" t="s">
        <v>34</v>
      </c>
      <c r="C212" s="1">
        <v>2012</v>
      </c>
      <c r="D212" s="1" t="s">
        <v>54</v>
      </c>
      <c r="E212" s="1">
        <v>1</v>
      </c>
      <c r="F212" s="1">
        <v>1</v>
      </c>
      <c r="G212" s="1" t="s">
        <v>27</v>
      </c>
      <c r="H212" s="1" t="s">
        <v>33</v>
      </c>
      <c r="I212" s="3">
        <v>41055.413171296299</v>
      </c>
      <c r="J212" s="1">
        <v>1</v>
      </c>
      <c r="K212" s="1">
        <v>0</v>
      </c>
    </row>
    <row r="213" spans="1:11" ht="21.75" customHeight="1">
      <c r="A213" s="2">
        <v>27</v>
      </c>
      <c r="B213" s="1" t="s">
        <v>34</v>
      </c>
      <c r="C213" s="1">
        <v>2012</v>
      </c>
      <c r="D213" s="1" t="s">
        <v>54</v>
      </c>
      <c r="E213" s="1">
        <v>2</v>
      </c>
      <c r="F213" s="1">
        <v>2</v>
      </c>
      <c r="G213" s="1" t="s">
        <v>27</v>
      </c>
      <c r="H213" s="1" t="s">
        <v>28</v>
      </c>
      <c r="I213" s="3">
        <v>41055.423541666663</v>
      </c>
      <c r="J213" s="1">
        <v>1</v>
      </c>
      <c r="K213" s="1">
        <v>0</v>
      </c>
    </row>
    <row r="214" spans="1:11" ht="21.75" customHeight="1">
      <c r="A214" s="2">
        <v>30</v>
      </c>
      <c r="B214" s="1" t="s">
        <v>34</v>
      </c>
      <c r="C214" s="1">
        <v>2012</v>
      </c>
      <c r="D214" s="1" t="s">
        <v>54</v>
      </c>
      <c r="E214" s="1">
        <v>5</v>
      </c>
      <c r="F214" s="1">
        <v>5</v>
      </c>
      <c r="G214" s="1" t="s">
        <v>27</v>
      </c>
      <c r="H214" s="1" t="s">
        <v>28</v>
      </c>
      <c r="I214" s="3">
        <v>41059.397928240738</v>
      </c>
      <c r="J214" s="1">
        <v>1</v>
      </c>
      <c r="K214" s="1">
        <v>0</v>
      </c>
    </row>
    <row r="215" spans="1:11" ht="21.75" customHeight="1">
      <c r="A215" s="2">
        <v>15</v>
      </c>
      <c r="B215" s="1" t="s">
        <v>35</v>
      </c>
      <c r="C215" s="1">
        <v>2012</v>
      </c>
      <c r="D215" s="1" t="s">
        <v>54</v>
      </c>
      <c r="E215" s="1">
        <v>20</v>
      </c>
      <c r="F215" s="1">
        <v>20</v>
      </c>
      <c r="G215" s="1" t="s">
        <v>27</v>
      </c>
      <c r="H215" s="1" t="s">
        <v>28</v>
      </c>
      <c r="I215" s="3">
        <v>41078.605543981481</v>
      </c>
      <c r="J215" s="1">
        <v>1</v>
      </c>
      <c r="K215" s="1">
        <v>0</v>
      </c>
    </row>
    <row r="216" spans="1:11" ht="21.75" customHeight="1">
      <c r="A216" s="2">
        <v>12</v>
      </c>
      <c r="B216" s="1" t="s">
        <v>35</v>
      </c>
      <c r="C216" s="1">
        <v>2012</v>
      </c>
      <c r="D216" s="1" t="s">
        <v>54</v>
      </c>
      <c r="E216" s="1">
        <v>2</v>
      </c>
      <c r="F216" s="1">
        <v>2</v>
      </c>
      <c r="G216" s="1" t="s">
        <v>27</v>
      </c>
      <c r="H216" s="1" t="s">
        <v>28</v>
      </c>
      <c r="I216" s="3">
        <v>41072.461134259262</v>
      </c>
      <c r="J216" s="1">
        <v>1</v>
      </c>
      <c r="K216" s="1">
        <v>0</v>
      </c>
    </row>
    <row r="217" spans="1:11" ht="21.75" customHeight="1">
      <c r="A217" s="2">
        <v>22</v>
      </c>
      <c r="B217" s="1" t="s">
        <v>35</v>
      </c>
      <c r="C217" s="1">
        <v>2012</v>
      </c>
      <c r="D217" s="1" t="s">
        <v>54</v>
      </c>
      <c r="E217" s="1">
        <v>2</v>
      </c>
      <c r="F217" s="1">
        <v>2</v>
      </c>
      <c r="G217" s="1" t="s">
        <v>27</v>
      </c>
      <c r="H217" s="1" t="s">
        <v>33</v>
      </c>
      <c r="I217" s="3">
        <v>41082.437430555554</v>
      </c>
      <c r="J217" s="1">
        <v>1</v>
      </c>
      <c r="K217" s="1">
        <v>0</v>
      </c>
    </row>
    <row r="218" spans="1:11" ht="21.75" customHeight="1">
      <c r="A218" s="2">
        <v>27</v>
      </c>
      <c r="B218" s="1" t="s">
        <v>36</v>
      </c>
      <c r="C218" s="1">
        <v>2012</v>
      </c>
      <c r="D218" s="1" t="s">
        <v>54</v>
      </c>
      <c r="E218" s="1">
        <v>3</v>
      </c>
      <c r="F218" s="1">
        <v>3</v>
      </c>
      <c r="G218" s="1" t="s">
        <v>27</v>
      </c>
      <c r="H218" s="1" t="s">
        <v>28</v>
      </c>
      <c r="I218" s="3">
        <v>41117.609456018516</v>
      </c>
      <c r="J218" s="1">
        <v>1</v>
      </c>
      <c r="K218" s="1">
        <v>0</v>
      </c>
    </row>
    <row r="219" spans="1:11" ht="21.75" customHeight="1">
      <c r="A219" s="2">
        <v>30</v>
      </c>
      <c r="B219" s="1" t="s">
        <v>36</v>
      </c>
      <c r="C219" s="1">
        <v>2012</v>
      </c>
      <c r="D219" s="1" t="s">
        <v>54</v>
      </c>
      <c r="E219" s="1">
        <v>1</v>
      </c>
      <c r="F219" s="1">
        <v>1</v>
      </c>
      <c r="G219" s="1" t="s">
        <v>27</v>
      </c>
      <c r="H219" s="1" t="s">
        <v>28</v>
      </c>
      <c r="I219" s="3">
        <v>41120.518587962964</v>
      </c>
      <c r="J219" s="1">
        <v>1</v>
      </c>
      <c r="K219" s="1">
        <v>0</v>
      </c>
    </row>
    <row r="220" spans="1:11" ht="21.75" customHeight="1">
      <c r="A220" s="2">
        <v>5</v>
      </c>
      <c r="B220" s="1" t="s">
        <v>37</v>
      </c>
      <c r="C220" s="1">
        <v>2012</v>
      </c>
      <c r="D220" s="1" t="s">
        <v>54</v>
      </c>
      <c r="E220" s="1">
        <v>3</v>
      </c>
      <c r="F220" s="1">
        <v>3</v>
      </c>
      <c r="G220" s="1" t="s">
        <v>27</v>
      </c>
      <c r="H220" s="1" t="s">
        <v>28</v>
      </c>
      <c r="I220" s="3">
        <v>41127.487754629627</v>
      </c>
      <c r="J220" s="1">
        <v>1</v>
      </c>
      <c r="K220" s="1">
        <v>0</v>
      </c>
    </row>
    <row r="221" spans="1:11" ht="21.75" customHeight="1">
      <c r="A221" s="2">
        <v>7</v>
      </c>
      <c r="B221" s="1" t="s">
        <v>37</v>
      </c>
      <c r="C221" s="1">
        <v>2012</v>
      </c>
      <c r="D221" s="1" t="s">
        <v>54</v>
      </c>
      <c r="E221" s="1">
        <v>1</v>
      </c>
      <c r="F221" s="1">
        <v>1</v>
      </c>
      <c r="G221" s="1" t="s">
        <v>27</v>
      </c>
      <c r="H221" s="1" t="s">
        <v>28</v>
      </c>
      <c r="I221" s="3">
        <v>41130.422118055554</v>
      </c>
      <c r="J221" s="1">
        <v>1</v>
      </c>
      <c r="K221" s="1">
        <v>0</v>
      </c>
    </row>
    <row r="222" spans="1:11" ht="21.75" customHeight="1">
      <c r="A222" s="2">
        <v>8</v>
      </c>
      <c r="B222" s="1" t="s">
        <v>37</v>
      </c>
      <c r="C222" s="1">
        <v>2012</v>
      </c>
      <c r="D222" s="1" t="s">
        <v>54</v>
      </c>
      <c r="E222" s="1">
        <v>2</v>
      </c>
      <c r="F222" s="1">
        <v>2</v>
      </c>
      <c r="G222" s="1" t="s">
        <v>27</v>
      </c>
      <c r="H222" s="1" t="s">
        <v>28</v>
      </c>
      <c r="I222" s="3">
        <v>41129.600902777776</v>
      </c>
      <c r="J222" s="1">
        <v>1</v>
      </c>
      <c r="K222" s="1">
        <v>0</v>
      </c>
    </row>
    <row r="223" spans="1:11" ht="21.75" customHeight="1">
      <c r="A223" s="2">
        <v>10</v>
      </c>
      <c r="B223" s="1" t="s">
        <v>37</v>
      </c>
      <c r="C223" s="1">
        <v>2012</v>
      </c>
      <c r="D223" s="1" t="s">
        <v>54</v>
      </c>
      <c r="E223" s="1">
        <v>5</v>
      </c>
      <c r="F223" s="1">
        <v>5</v>
      </c>
      <c r="G223" s="1" t="s">
        <v>27</v>
      </c>
      <c r="H223" s="1" t="s">
        <v>28</v>
      </c>
      <c r="I223" s="3">
        <v>41131.500659722224</v>
      </c>
      <c r="J223" s="1">
        <v>1</v>
      </c>
      <c r="K223" s="1">
        <v>0</v>
      </c>
    </row>
    <row r="224" spans="1:11" ht="21.75" customHeight="1">
      <c r="A224" s="2">
        <v>19</v>
      </c>
      <c r="B224" s="1" t="s">
        <v>37</v>
      </c>
      <c r="C224" s="1">
        <v>2012</v>
      </c>
      <c r="D224" s="1" t="s">
        <v>54</v>
      </c>
      <c r="E224" s="1">
        <v>2</v>
      </c>
      <c r="F224" s="1">
        <v>2</v>
      </c>
      <c r="G224" s="1" t="s">
        <v>27</v>
      </c>
      <c r="H224" s="1" t="s">
        <v>28</v>
      </c>
      <c r="I224" s="3">
        <v>41144.696238425924</v>
      </c>
      <c r="J224" s="1">
        <v>1</v>
      </c>
      <c r="K224" s="1">
        <v>0</v>
      </c>
    </row>
    <row r="225" spans="1:11" ht="21.75" customHeight="1">
      <c r="A225" s="2">
        <v>24</v>
      </c>
      <c r="B225" s="1" t="s">
        <v>37</v>
      </c>
      <c r="C225" s="1">
        <v>2012</v>
      </c>
      <c r="D225" s="1" t="s">
        <v>54</v>
      </c>
      <c r="E225" s="1">
        <v>1</v>
      </c>
      <c r="F225" s="1">
        <v>1</v>
      </c>
      <c r="G225" s="1" t="s">
        <v>27</v>
      </c>
      <c r="H225" s="1" t="s">
        <v>28</v>
      </c>
      <c r="I225" s="3">
        <v>41148.450972222221</v>
      </c>
      <c r="J225" s="1">
        <v>1</v>
      </c>
      <c r="K225" s="1">
        <v>0</v>
      </c>
    </row>
    <row r="226" spans="1:11" ht="21.75" customHeight="1">
      <c r="A226" s="2">
        <v>26</v>
      </c>
      <c r="B226" s="1" t="s">
        <v>37</v>
      </c>
      <c r="C226" s="1">
        <v>2012</v>
      </c>
      <c r="D226" s="1" t="s">
        <v>54</v>
      </c>
      <c r="E226" s="1">
        <v>3</v>
      </c>
      <c r="F226" s="1">
        <v>3</v>
      </c>
      <c r="G226" s="1" t="s">
        <v>27</v>
      </c>
      <c r="H226" s="1" t="s">
        <v>28</v>
      </c>
      <c r="I226" s="3">
        <v>41148.426516203705</v>
      </c>
      <c r="J226" s="1">
        <v>1</v>
      </c>
      <c r="K226" s="1">
        <v>0</v>
      </c>
    </row>
    <row r="227" spans="1:11" ht="21.75" customHeight="1">
      <c r="A227" s="2">
        <v>25</v>
      </c>
      <c r="B227" s="1" t="s">
        <v>38</v>
      </c>
      <c r="C227" s="1">
        <v>2012</v>
      </c>
      <c r="D227" s="1" t="s">
        <v>54</v>
      </c>
      <c r="E227" s="1">
        <v>2</v>
      </c>
      <c r="F227" s="1">
        <v>2</v>
      </c>
      <c r="G227" s="1" t="s">
        <v>27</v>
      </c>
      <c r="H227" s="1" t="s">
        <v>33</v>
      </c>
      <c r="I227" s="3">
        <v>41177.721226851849</v>
      </c>
      <c r="J227" s="1">
        <v>1</v>
      </c>
      <c r="K227" s="1">
        <v>0</v>
      </c>
    </row>
    <row r="228" spans="1:11" ht="21.75" customHeight="1">
      <c r="A228" s="2">
        <v>2</v>
      </c>
      <c r="B228" s="1" t="s">
        <v>43</v>
      </c>
      <c r="C228" s="1">
        <v>2012</v>
      </c>
      <c r="D228" s="1" t="s">
        <v>54</v>
      </c>
      <c r="E228" s="1">
        <v>5</v>
      </c>
      <c r="F228" s="1">
        <v>5</v>
      </c>
      <c r="G228" s="1" t="s">
        <v>27</v>
      </c>
      <c r="H228" s="1" t="s">
        <v>28</v>
      </c>
      <c r="I228" s="3">
        <v>41186.430567129632</v>
      </c>
      <c r="J228" s="1">
        <v>1</v>
      </c>
      <c r="K228" s="1">
        <v>0</v>
      </c>
    </row>
    <row r="229" spans="1:11" ht="21.75" customHeight="1">
      <c r="A229" s="2">
        <v>13</v>
      </c>
      <c r="B229" s="1" t="s">
        <v>43</v>
      </c>
      <c r="C229" s="1">
        <v>2012</v>
      </c>
      <c r="D229" s="1" t="s">
        <v>54</v>
      </c>
      <c r="E229" s="1">
        <v>2</v>
      </c>
      <c r="F229" s="1">
        <v>2</v>
      </c>
      <c r="G229" s="1" t="s">
        <v>27</v>
      </c>
      <c r="H229" s="1" t="s">
        <v>28</v>
      </c>
      <c r="I229" s="3">
        <v>41197.63208333333</v>
      </c>
      <c r="J229" s="1">
        <v>1</v>
      </c>
      <c r="K229" s="1">
        <v>0</v>
      </c>
    </row>
    <row r="230" spans="1:11" ht="21.75" customHeight="1">
      <c r="A230" s="2">
        <v>13</v>
      </c>
      <c r="B230" s="1" t="s">
        <v>43</v>
      </c>
      <c r="C230" s="1">
        <v>2012</v>
      </c>
      <c r="D230" s="1" t="s">
        <v>54</v>
      </c>
      <c r="E230" s="1">
        <v>1</v>
      </c>
      <c r="F230" s="1">
        <v>1</v>
      </c>
      <c r="G230" s="1" t="s">
        <v>27</v>
      </c>
      <c r="H230" s="1" t="s">
        <v>28</v>
      </c>
      <c r="I230" s="3">
        <v>41197.631909722222</v>
      </c>
      <c r="J230" s="1">
        <v>1</v>
      </c>
      <c r="K230" s="1">
        <v>0</v>
      </c>
    </row>
    <row r="231" spans="1:11" ht="21.75" customHeight="1">
      <c r="A231" s="2">
        <v>18</v>
      </c>
      <c r="B231" s="1" t="s">
        <v>43</v>
      </c>
      <c r="C231" s="1">
        <v>2012</v>
      </c>
      <c r="D231" s="1" t="s">
        <v>54</v>
      </c>
      <c r="E231" s="1">
        <v>2</v>
      </c>
      <c r="F231" s="1">
        <v>2</v>
      </c>
      <c r="G231" s="1" t="s">
        <v>27</v>
      </c>
      <c r="H231" s="1" t="s">
        <v>33</v>
      </c>
      <c r="I231" s="3">
        <v>41201.641805555555</v>
      </c>
      <c r="J231" s="1">
        <v>1</v>
      </c>
      <c r="K231" s="1">
        <v>0</v>
      </c>
    </row>
    <row r="232" spans="1:11" ht="21.75" customHeight="1">
      <c r="A232" s="2">
        <v>21</v>
      </c>
      <c r="B232" s="1" t="s">
        <v>43</v>
      </c>
      <c r="C232" s="1">
        <v>2012</v>
      </c>
      <c r="D232" s="1" t="s">
        <v>54</v>
      </c>
      <c r="E232" s="1">
        <v>10</v>
      </c>
      <c r="F232" s="1">
        <v>10</v>
      </c>
      <c r="G232" s="1" t="s">
        <v>27</v>
      </c>
      <c r="H232" s="1" t="s">
        <v>28</v>
      </c>
      <c r="I232" s="3">
        <v>41204.528761574074</v>
      </c>
      <c r="J232" s="1">
        <v>1</v>
      </c>
      <c r="K232" s="1">
        <v>0</v>
      </c>
    </row>
    <row r="233" spans="1:11" ht="21.75" customHeight="1">
      <c r="A233" s="2">
        <v>10</v>
      </c>
      <c r="B233" s="1" t="s">
        <v>44</v>
      </c>
      <c r="C233" s="1">
        <v>2012</v>
      </c>
      <c r="D233" s="1" t="s">
        <v>54</v>
      </c>
      <c r="E233" s="1">
        <v>2</v>
      </c>
      <c r="F233" s="1">
        <v>2</v>
      </c>
      <c r="G233" s="1" t="s">
        <v>27</v>
      </c>
      <c r="H233" s="1" t="s">
        <v>28</v>
      </c>
      <c r="I233" s="3">
        <v>41222.522152777776</v>
      </c>
      <c r="J233" s="1">
        <v>1</v>
      </c>
      <c r="K233" s="1">
        <v>0</v>
      </c>
    </row>
    <row r="234" spans="1:11" ht="21.75" customHeight="1">
      <c r="A234" s="2">
        <v>18</v>
      </c>
      <c r="B234" s="1" t="s">
        <v>45</v>
      </c>
      <c r="C234" s="1">
        <v>2012</v>
      </c>
      <c r="D234" s="1" t="s">
        <v>54</v>
      </c>
      <c r="E234" s="1">
        <v>2</v>
      </c>
      <c r="F234" s="1">
        <v>2</v>
      </c>
      <c r="G234" s="1" t="s">
        <v>27</v>
      </c>
      <c r="H234" s="1" t="s">
        <v>28</v>
      </c>
      <c r="I234" s="3">
        <v>41261.787789351853</v>
      </c>
      <c r="J234" s="1">
        <v>1</v>
      </c>
      <c r="K234" s="1">
        <v>0</v>
      </c>
    </row>
    <row r="235" spans="1:11" ht="21.75" customHeight="1">
      <c r="A235" s="2">
        <v>21</v>
      </c>
      <c r="B235" s="1" t="s">
        <v>45</v>
      </c>
      <c r="C235" s="1">
        <v>2012</v>
      </c>
      <c r="D235" s="1" t="s">
        <v>54</v>
      </c>
      <c r="E235" s="1">
        <v>3</v>
      </c>
      <c r="F235" s="1">
        <v>3</v>
      </c>
      <c r="G235" s="1" t="s">
        <v>27</v>
      </c>
      <c r="H235" s="1" t="s">
        <v>28</v>
      </c>
      <c r="I235" s="3">
        <v>41264.663703703707</v>
      </c>
      <c r="J235" s="1">
        <v>1</v>
      </c>
      <c r="K235" s="1">
        <v>0</v>
      </c>
    </row>
    <row r="236" spans="1:11" ht="21.75" customHeight="1">
      <c r="A236" s="2">
        <v>10</v>
      </c>
      <c r="B236" s="1" t="s">
        <v>25</v>
      </c>
      <c r="C236" s="1">
        <v>2012</v>
      </c>
      <c r="D236" s="1" t="s">
        <v>54</v>
      </c>
      <c r="E236" s="1">
        <v>1</v>
      </c>
      <c r="F236" s="1">
        <v>1</v>
      </c>
      <c r="G236" s="1" t="s">
        <v>27</v>
      </c>
      <c r="H236" s="1" t="s">
        <v>28</v>
      </c>
      <c r="I236" s="3">
        <v>40806.710578703707</v>
      </c>
      <c r="J236" s="1">
        <v>1</v>
      </c>
      <c r="K236" s="1">
        <v>0</v>
      </c>
    </row>
    <row r="237" spans="1:11" ht="21.75" customHeight="1">
      <c r="A237" s="2">
        <v>10</v>
      </c>
      <c r="B237" s="1" t="s">
        <v>41</v>
      </c>
      <c r="C237" s="1">
        <v>2012</v>
      </c>
      <c r="D237" s="1" t="s">
        <v>54</v>
      </c>
      <c r="E237" s="1">
        <v>6</v>
      </c>
      <c r="F237" s="1">
        <v>6</v>
      </c>
      <c r="G237" s="1" t="s">
        <v>27</v>
      </c>
      <c r="H237" s="1" t="s">
        <v>28</v>
      </c>
      <c r="I237" s="3">
        <v>40948.647245370368</v>
      </c>
      <c r="J237" s="1">
        <v>1</v>
      </c>
      <c r="K237" s="1">
        <v>0</v>
      </c>
    </row>
    <row r="238" spans="1:11" ht="21.75" customHeight="1">
      <c r="A238" s="2">
        <v>7</v>
      </c>
      <c r="B238" s="1" t="s">
        <v>37</v>
      </c>
      <c r="C238" s="1">
        <v>2012</v>
      </c>
      <c r="D238" s="1" t="s">
        <v>54</v>
      </c>
      <c r="E238" s="1">
        <v>1</v>
      </c>
      <c r="F238" s="1">
        <v>1</v>
      </c>
      <c r="G238" s="1" t="s">
        <v>27</v>
      </c>
      <c r="H238" s="1" t="s">
        <v>28</v>
      </c>
      <c r="I238" s="3">
        <v>41130.425844907404</v>
      </c>
      <c r="J238" s="1">
        <v>1</v>
      </c>
      <c r="K238" s="1">
        <v>0</v>
      </c>
    </row>
    <row r="239" spans="1:11" ht="21.75" customHeight="1">
      <c r="A239" s="2">
        <v>23</v>
      </c>
      <c r="B239" s="1" t="s">
        <v>37</v>
      </c>
      <c r="C239" s="1">
        <v>2012</v>
      </c>
      <c r="D239" s="1" t="s">
        <v>54</v>
      </c>
      <c r="E239" s="1">
        <v>1</v>
      </c>
      <c r="F239" s="1">
        <v>1</v>
      </c>
      <c r="G239" s="1" t="s">
        <v>27</v>
      </c>
      <c r="H239" s="1" t="s">
        <v>28</v>
      </c>
      <c r="I239" s="3">
        <v>41148.444155092591</v>
      </c>
      <c r="J239" s="1">
        <v>1</v>
      </c>
      <c r="K239" s="1">
        <v>0</v>
      </c>
    </row>
    <row r="240" spans="1:11" ht="21.75" customHeight="1">
      <c r="A240" s="2">
        <v>23</v>
      </c>
      <c r="B240" s="1" t="s">
        <v>37</v>
      </c>
      <c r="C240" s="1">
        <v>2012</v>
      </c>
      <c r="D240" s="1" t="s">
        <v>54</v>
      </c>
      <c r="E240" s="1">
        <v>1</v>
      </c>
      <c r="F240" s="1">
        <v>1</v>
      </c>
      <c r="G240" s="1" t="s">
        <v>27</v>
      </c>
      <c r="H240" s="1" t="s">
        <v>28</v>
      </c>
      <c r="I240" s="3">
        <v>41148.466631944444</v>
      </c>
      <c r="J240" s="1">
        <v>1</v>
      </c>
      <c r="K240" s="1">
        <v>0</v>
      </c>
    </row>
    <row r="241" spans="1:11" ht="21.75" customHeight="1">
      <c r="A241" s="2">
        <v>24</v>
      </c>
      <c r="B241" s="1" t="s">
        <v>37</v>
      </c>
      <c r="C241" s="1">
        <v>2012</v>
      </c>
      <c r="D241" s="1" t="s">
        <v>54</v>
      </c>
      <c r="E241" s="1">
        <v>1</v>
      </c>
      <c r="F241" s="1">
        <v>1</v>
      </c>
      <c r="G241" s="1" t="s">
        <v>27</v>
      </c>
      <c r="H241" s="1" t="s">
        <v>28</v>
      </c>
      <c r="I241" s="3">
        <v>41148.451319444444</v>
      </c>
      <c r="J241" s="1">
        <v>1</v>
      </c>
      <c r="K241" s="1">
        <v>0</v>
      </c>
    </row>
    <row r="242" spans="1:11" ht="21.75" customHeight="1">
      <c r="A242" s="2">
        <v>22</v>
      </c>
      <c r="B242" s="1" t="s">
        <v>38</v>
      </c>
      <c r="C242" s="1">
        <v>2012</v>
      </c>
      <c r="D242" s="1" t="s">
        <v>54</v>
      </c>
      <c r="E242" s="1">
        <v>2</v>
      </c>
      <c r="F242" s="1">
        <v>2</v>
      </c>
      <c r="G242" s="1" t="s">
        <v>27</v>
      </c>
      <c r="H242" s="1" t="s">
        <v>33</v>
      </c>
      <c r="I242" s="3">
        <v>41176.664421296293</v>
      </c>
      <c r="J242" s="1">
        <v>1</v>
      </c>
      <c r="K242" s="1">
        <v>0</v>
      </c>
    </row>
    <row r="243" spans="1:11" ht="21.75" customHeight="1">
      <c r="A243" s="2">
        <v>18</v>
      </c>
      <c r="B243" s="1" t="s">
        <v>43</v>
      </c>
      <c r="C243" s="1">
        <v>2012</v>
      </c>
      <c r="D243" s="1" t="s">
        <v>54</v>
      </c>
      <c r="E243" s="1">
        <v>3</v>
      </c>
      <c r="F243" s="1">
        <v>3</v>
      </c>
      <c r="G243" s="1" t="s">
        <v>27</v>
      </c>
      <c r="H243" s="1" t="s">
        <v>28</v>
      </c>
      <c r="I243" s="3">
        <v>41204.65792824074</v>
      </c>
      <c r="J243" s="1">
        <v>1</v>
      </c>
      <c r="K243" s="1">
        <v>0</v>
      </c>
    </row>
    <row r="244" spans="1:11" ht="21.75" customHeight="1">
      <c r="A244" s="2">
        <v>7</v>
      </c>
      <c r="B244" s="1" t="s">
        <v>44</v>
      </c>
      <c r="C244" s="1">
        <v>2012</v>
      </c>
      <c r="D244" s="1" t="s">
        <v>54</v>
      </c>
      <c r="E244" s="1">
        <v>3</v>
      </c>
      <c r="F244" s="1">
        <v>3</v>
      </c>
      <c r="G244" s="1" t="s">
        <v>27</v>
      </c>
      <c r="H244" s="1" t="s">
        <v>28</v>
      </c>
      <c r="I244" s="3">
        <v>41219.511944444443</v>
      </c>
      <c r="J244" s="1">
        <v>1</v>
      </c>
      <c r="K244" s="1">
        <v>0</v>
      </c>
    </row>
    <row r="245" spans="1:11" ht="21.75" customHeight="1">
      <c r="A245" s="2">
        <v>14</v>
      </c>
      <c r="B245" s="1" t="s">
        <v>44</v>
      </c>
      <c r="C245" s="1">
        <v>2012</v>
      </c>
      <c r="D245" s="1" t="s">
        <v>54</v>
      </c>
      <c r="E245" s="1">
        <v>3</v>
      </c>
      <c r="F245" s="1">
        <v>3</v>
      </c>
      <c r="G245" s="1" t="s">
        <v>27</v>
      </c>
      <c r="H245" s="1" t="s">
        <v>33</v>
      </c>
      <c r="I245" s="3">
        <v>41227.402708333335</v>
      </c>
      <c r="J245" s="1">
        <v>1</v>
      </c>
      <c r="K245" s="1">
        <v>0</v>
      </c>
    </row>
    <row r="246" spans="1:11" ht="21.75" customHeight="1">
      <c r="A246" s="2">
        <v>28</v>
      </c>
      <c r="B246" s="1" t="s">
        <v>45</v>
      </c>
      <c r="C246" s="1">
        <v>2012</v>
      </c>
      <c r="D246" s="1" t="s">
        <v>54</v>
      </c>
      <c r="E246" s="1">
        <v>20</v>
      </c>
      <c r="F246" s="1">
        <v>20</v>
      </c>
      <c r="G246" s="1" t="s">
        <v>27</v>
      </c>
      <c r="H246" s="1" t="s">
        <v>28</v>
      </c>
      <c r="I246" s="3">
        <v>41271.577893518515</v>
      </c>
      <c r="J246" s="1">
        <v>1</v>
      </c>
      <c r="K246" s="1">
        <v>0</v>
      </c>
    </row>
    <row r="247" spans="1:11" ht="21.75" customHeight="1">
      <c r="A247" s="2">
        <v>28</v>
      </c>
      <c r="B247" s="1" t="s">
        <v>45</v>
      </c>
      <c r="C247" s="1">
        <v>2012</v>
      </c>
      <c r="D247" s="1" t="s">
        <v>54</v>
      </c>
      <c r="E247" s="1">
        <v>10</v>
      </c>
      <c r="F247" s="1">
        <v>10</v>
      </c>
      <c r="G247" s="1" t="s">
        <v>27</v>
      </c>
      <c r="H247" s="1" t="s">
        <v>28</v>
      </c>
      <c r="I247" s="3">
        <v>41271.596886574072</v>
      </c>
      <c r="J247" s="1">
        <v>1</v>
      </c>
      <c r="K247" s="1">
        <v>0</v>
      </c>
    </row>
    <row r="248" spans="1:11" ht="21.75" customHeight="1">
      <c r="A248" s="2">
        <v>25</v>
      </c>
      <c r="B248" s="1" t="s">
        <v>31</v>
      </c>
      <c r="C248" s="1">
        <v>2012</v>
      </c>
      <c r="D248" s="1" t="s">
        <v>54</v>
      </c>
      <c r="E248" s="1">
        <v>7</v>
      </c>
      <c r="F248" s="1">
        <v>7</v>
      </c>
      <c r="G248" s="1" t="s">
        <v>27</v>
      </c>
      <c r="H248" s="1" t="s">
        <v>33</v>
      </c>
      <c r="I248" s="3">
        <v>40994.51421296296</v>
      </c>
      <c r="J248" s="1">
        <v>1</v>
      </c>
      <c r="K248" s="1">
        <v>0</v>
      </c>
    </row>
    <row r="249" spans="1:11" ht="21.75" customHeight="1">
      <c r="A249" s="2">
        <v>3</v>
      </c>
      <c r="B249" s="1" t="s">
        <v>34</v>
      </c>
      <c r="C249" s="1">
        <v>2012</v>
      </c>
      <c r="D249" s="1" t="s">
        <v>54</v>
      </c>
      <c r="E249" s="1">
        <v>1</v>
      </c>
      <c r="F249" s="1">
        <v>1</v>
      </c>
      <c r="G249" s="1" t="s">
        <v>27</v>
      </c>
      <c r="H249" s="1" t="s">
        <v>28</v>
      </c>
      <c r="I249" s="3">
        <v>41033.583055555559</v>
      </c>
      <c r="J249" s="1">
        <v>1</v>
      </c>
      <c r="K249" s="1">
        <v>0</v>
      </c>
    </row>
    <row r="250" spans="1:11" ht="21.75" customHeight="1">
      <c r="A250" s="2">
        <v>6</v>
      </c>
      <c r="B250" s="1" t="s">
        <v>43</v>
      </c>
      <c r="C250" s="1">
        <v>2012</v>
      </c>
      <c r="D250" s="1" t="s">
        <v>54</v>
      </c>
      <c r="E250" s="1">
        <v>2</v>
      </c>
      <c r="F250" s="1">
        <v>2</v>
      </c>
      <c r="G250" s="1" t="s">
        <v>27</v>
      </c>
      <c r="H250" s="1" t="s">
        <v>28</v>
      </c>
      <c r="I250" s="3">
        <v>41187.50341435185</v>
      </c>
      <c r="J250" s="1">
        <v>1</v>
      </c>
      <c r="K250" s="1">
        <v>0</v>
      </c>
    </row>
    <row r="251" spans="1:11" ht="21.75" customHeight="1">
      <c r="A251" s="2">
        <v>20</v>
      </c>
      <c r="B251" s="1" t="s">
        <v>44</v>
      </c>
      <c r="C251" s="1">
        <v>2012</v>
      </c>
      <c r="D251" s="1" t="s">
        <v>54</v>
      </c>
      <c r="E251" s="1">
        <v>2</v>
      </c>
      <c r="F251" s="1">
        <v>2</v>
      </c>
      <c r="G251" s="1" t="s">
        <v>27</v>
      </c>
      <c r="H251" s="1" t="s">
        <v>28</v>
      </c>
      <c r="I251" s="3">
        <v>41236.624583333331</v>
      </c>
      <c r="J251" s="1">
        <v>1</v>
      </c>
      <c r="K251" s="1">
        <v>0</v>
      </c>
    </row>
    <row r="252" spans="1:11" ht="21.75" customHeight="1">
      <c r="A252" s="2">
        <v>2</v>
      </c>
      <c r="B252" s="1" t="s">
        <v>44</v>
      </c>
      <c r="C252" s="1">
        <v>2012</v>
      </c>
      <c r="D252" s="1" t="s">
        <v>54</v>
      </c>
      <c r="E252" s="1">
        <v>2</v>
      </c>
      <c r="F252" s="1">
        <v>2</v>
      </c>
      <c r="G252" s="1" t="s">
        <v>27</v>
      </c>
      <c r="H252" s="1" t="s">
        <v>28</v>
      </c>
      <c r="I252" s="3">
        <v>41218.489201388889</v>
      </c>
      <c r="J252" s="1">
        <v>1</v>
      </c>
      <c r="K252" s="1">
        <v>0</v>
      </c>
    </row>
    <row r="253" spans="1:11" ht="21.75" customHeight="1">
      <c r="A253" s="2">
        <v>10</v>
      </c>
      <c r="B253" s="1" t="s">
        <v>31</v>
      </c>
      <c r="C253" s="1">
        <v>2012</v>
      </c>
      <c r="D253" s="1" t="s">
        <v>54</v>
      </c>
      <c r="E253" s="1">
        <v>2</v>
      </c>
      <c r="F253" s="1">
        <v>2</v>
      </c>
      <c r="G253" s="1" t="s">
        <v>27</v>
      </c>
      <c r="H253" s="1" t="s">
        <v>28</v>
      </c>
      <c r="I253" s="3">
        <v>40977.668749999997</v>
      </c>
      <c r="J253" s="1">
        <v>1</v>
      </c>
      <c r="K253" s="1">
        <v>0</v>
      </c>
    </row>
    <row r="254" spans="1:11" ht="21.75" customHeight="1">
      <c r="A254" s="2">
        <v>23</v>
      </c>
      <c r="B254" s="1" t="s">
        <v>37</v>
      </c>
      <c r="C254" s="1">
        <v>2012</v>
      </c>
      <c r="D254" s="1" t="s">
        <v>54</v>
      </c>
      <c r="E254" s="1">
        <v>1</v>
      </c>
      <c r="F254" s="1">
        <v>1</v>
      </c>
      <c r="G254" s="1" t="s">
        <v>27</v>
      </c>
      <c r="H254" s="1" t="s">
        <v>28</v>
      </c>
      <c r="I254" s="3">
        <v>41148.473414351851</v>
      </c>
      <c r="J254" s="1">
        <v>1</v>
      </c>
      <c r="K254" s="1">
        <v>0</v>
      </c>
    </row>
    <row r="255" spans="1:11" ht="21.75" customHeight="1">
      <c r="A255" s="2">
        <v>23</v>
      </c>
      <c r="B255" s="1" t="s">
        <v>37</v>
      </c>
      <c r="C255" s="1">
        <v>2012</v>
      </c>
      <c r="D255" s="1" t="s">
        <v>54</v>
      </c>
      <c r="E255" s="1">
        <v>1</v>
      </c>
      <c r="F255" s="1">
        <v>1</v>
      </c>
      <c r="G255" s="1" t="s">
        <v>27</v>
      </c>
      <c r="H255" s="1" t="s">
        <v>28</v>
      </c>
      <c r="I255" s="3">
        <v>41148.472453703704</v>
      </c>
      <c r="J255" s="1">
        <v>1</v>
      </c>
      <c r="K255" s="1">
        <v>0</v>
      </c>
    </row>
    <row r="256" spans="1:11" ht="21.75" customHeight="1">
      <c r="A256" s="2">
        <v>23</v>
      </c>
      <c r="B256" s="1" t="s">
        <v>37</v>
      </c>
      <c r="C256" s="1">
        <v>2012</v>
      </c>
      <c r="D256" s="1" t="s">
        <v>54</v>
      </c>
      <c r="E256" s="1">
        <v>1</v>
      </c>
      <c r="F256" s="1">
        <v>1</v>
      </c>
      <c r="G256" s="1" t="s">
        <v>27</v>
      </c>
      <c r="H256" s="1" t="s">
        <v>28</v>
      </c>
      <c r="I256" s="3">
        <v>41148.443495370368</v>
      </c>
      <c r="J256" s="1">
        <v>1</v>
      </c>
      <c r="K256" s="1">
        <v>0</v>
      </c>
    </row>
    <row r="257" spans="1:11" ht="21.75" customHeight="1">
      <c r="A257" s="2">
        <v>24</v>
      </c>
      <c r="B257" s="1" t="s">
        <v>37</v>
      </c>
      <c r="C257" s="1">
        <v>2012</v>
      </c>
      <c r="D257" s="1" t="s">
        <v>54</v>
      </c>
      <c r="E257" s="1">
        <v>1</v>
      </c>
      <c r="F257" s="1">
        <v>1</v>
      </c>
      <c r="G257" s="1" t="s">
        <v>27</v>
      </c>
      <c r="H257" s="1" t="s">
        <v>33</v>
      </c>
      <c r="I257" s="3">
        <v>41148.450162037036</v>
      </c>
      <c r="J257" s="1">
        <v>1</v>
      </c>
      <c r="K257" s="1">
        <v>0</v>
      </c>
    </row>
    <row r="258" spans="1:11" ht="21.75" customHeight="1">
      <c r="A258" s="2">
        <v>15</v>
      </c>
      <c r="B258" s="1" t="s">
        <v>38</v>
      </c>
      <c r="C258" s="1">
        <v>2012</v>
      </c>
      <c r="D258" s="1" t="s">
        <v>54</v>
      </c>
      <c r="E258" s="1">
        <v>20</v>
      </c>
      <c r="F258" s="1">
        <v>20</v>
      </c>
      <c r="G258" s="1" t="s">
        <v>27</v>
      </c>
      <c r="H258" s="1" t="s">
        <v>28</v>
      </c>
      <c r="I258" s="3">
        <v>41169.591493055559</v>
      </c>
      <c r="J258" s="1">
        <v>1</v>
      </c>
      <c r="K258" s="1">
        <v>0</v>
      </c>
    </row>
    <row r="259" spans="1:11" ht="21.75" customHeight="1">
      <c r="A259" s="2">
        <v>29</v>
      </c>
      <c r="B259" s="1" t="s">
        <v>38</v>
      </c>
      <c r="C259" s="1">
        <v>2012</v>
      </c>
      <c r="D259" s="1" t="s">
        <v>54</v>
      </c>
      <c r="E259" s="1">
        <v>5</v>
      </c>
      <c r="F259" s="1">
        <v>5</v>
      </c>
      <c r="G259" s="1" t="s">
        <v>27</v>
      </c>
      <c r="H259" s="1" t="s">
        <v>28</v>
      </c>
      <c r="I259" s="3">
        <v>41183.582858796297</v>
      </c>
      <c r="J259" s="1">
        <v>1</v>
      </c>
      <c r="K259" s="1">
        <v>0</v>
      </c>
    </row>
    <row r="260" spans="1:11" ht="21.75" customHeight="1">
      <c r="A260" s="2">
        <v>10</v>
      </c>
      <c r="B260" s="1" t="s">
        <v>32</v>
      </c>
      <c r="C260" s="1">
        <v>2012</v>
      </c>
      <c r="D260" s="1" t="s">
        <v>54</v>
      </c>
      <c r="E260" s="1">
        <v>2</v>
      </c>
      <c r="F260" s="1">
        <v>0</v>
      </c>
      <c r="G260" s="1" t="s">
        <v>27</v>
      </c>
      <c r="H260" s="1" t="s">
        <v>33</v>
      </c>
      <c r="I260" s="3">
        <v>41010.662349537037</v>
      </c>
      <c r="J260" s="1">
        <v>1</v>
      </c>
      <c r="K260" s="1">
        <v>0</v>
      </c>
    </row>
    <row r="261" spans="1:11" ht="21.75" customHeight="1">
      <c r="A261" s="2">
        <v>28</v>
      </c>
      <c r="B261" s="1" t="s">
        <v>36</v>
      </c>
      <c r="C261" s="1">
        <v>2012</v>
      </c>
      <c r="D261" s="1" t="s">
        <v>54</v>
      </c>
      <c r="E261" s="1">
        <v>1</v>
      </c>
      <c r="F261" s="1">
        <v>1</v>
      </c>
      <c r="G261" s="1" t="s">
        <v>27</v>
      </c>
      <c r="H261" s="1" t="s">
        <v>33</v>
      </c>
      <c r="I261" s="3">
        <v>41127.429178240738</v>
      </c>
      <c r="J261" s="1">
        <v>1</v>
      </c>
      <c r="K261" s="1">
        <v>0</v>
      </c>
    </row>
    <row r="262" spans="1:11" ht="21.75" customHeight="1">
      <c r="A262" s="2">
        <v>25</v>
      </c>
      <c r="B262" s="1" t="s">
        <v>37</v>
      </c>
      <c r="C262" s="1">
        <v>2012</v>
      </c>
      <c r="D262" s="1" t="s">
        <v>54</v>
      </c>
      <c r="E262" s="1">
        <v>1</v>
      </c>
      <c r="F262" s="1">
        <v>1</v>
      </c>
      <c r="G262" s="1" t="s">
        <v>27</v>
      </c>
      <c r="H262" s="1" t="s">
        <v>28</v>
      </c>
      <c r="I262" s="3">
        <v>41149.466331018521</v>
      </c>
      <c r="J262" s="1">
        <v>1</v>
      </c>
      <c r="K262" s="1">
        <v>0</v>
      </c>
    </row>
    <row r="263" spans="1:11" ht="21.75" customHeight="1">
      <c r="A263" s="2">
        <v>7</v>
      </c>
      <c r="B263" s="1" t="s">
        <v>37</v>
      </c>
      <c r="C263" s="1">
        <v>2012</v>
      </c>
      <c r="D263" s="1" t="s">
        <v>54</v>
      </c>
      <c r="E263" s="1">
        <v>1</v>
      </c>
      <c r="F263" s="1">
        <v>1</v>
      </c>
      <c r="G263" s="1" t="s">
        <v>27</v>
      </c>
      <c r="H263" s="1" t="s">
        <v>28</v>
      </c>
      <c r="I263" s="3">
        <v>41130.422581018516</v>
      </c>
      <c r="J263" s="1">
        <v>1</v>
      </c>
      <c r="K263" s="1">
        <v>0</v>
      </c>
    </row>
    <row r="264" spans="1:11" ht="21.75" customHeight="1">
      <c r="A264" s="2">
        <v>14</v>
      </c>
      <c r="B264" s="1" t="s">
        <v>44</v>
      </c>
      <c r="C264" s="1">
        <v>2012</v>
      </c>
      <c r="D264" s="1" t="s">
        <v>54</v>
      </c>
      <c r="E264" s="1">
        <v>7</v>
      </c>
      <c r="F264" s="1">
        <v>0</v>
      </c>
      <c r="G264" s="1" t="s">
        <v>27</v>
      </c>
      <c r="H264" s="1" t="s">
        <v>33</v>
      </c>
      <c r="I264" s="3">
        <v>41227.402708333335</v>
      </c>
      <c r="J264" s="1">
        <v>0</v>
      </c>
      <c r="K264" s="1">
        <v>2</v>
      </c>
    </row>
    <row r="265" spans="1:11" ht="21.75" customHeight="1">
      <c r="A265" s="2">
        <v>25</v>
      </c>
      <c r="B265" s="1" t="s">
        <v>31</v>
      </c>
      <c r="C265" s="1">
        <v>2012</v>
      </c>
      <c r="D265" s="1" t="s">
        <v>54</v>
      </c>
      <c r="E265" s="1">
        <v>3</v>
      </c>
      <c r="F265" s="1">
        <v>0</v>
      </c>
      <c r="G265" s="1" t="s">
        <v>27</v>
      </c>
      <c r="H265" s="1" t="s">
        <v>33</v>
      </c>
      <c r="I265" s="3">
        <v>40994.51421296296</v>
      </c>
      <c r="J265" s="1">
        <v>0</v>
      </c>
      <c r="K265" s="1">
        <v>2</v>
      </c>
    </row>
    <row r="266" spans="1:11" ht="21.75" customHeight="1">
      <c r="A266" s="2">
        <v>29</v>
      </c>
      <c r="B266" s="1" t="s">
        <v>25</v>
      </c>
      <c r="C266" s="1">
        <v>2012</v>
      </c>
      <c r="D266" s="1" t="s">
        <v>55</v>
      </c>
      <c r="E266" s="1">
        <v>2</v>
      </c>
      <c r="F266" s="1">
        <v>2</v>
      </c>
      <c r="G266" s="1" t="s">
        <v>27</v>
      </c>
      <c r="H266" s="1" t="s">
        <v>28</v>
      </c>
      <c r="I266" s="3">
        <v>40938.451423611114</v>
      </c>
      <c r="J266" s="1">
        <v>1</v>
      </c>
      <c r="K266" s="1">
        <v>0</v>
      </c>
    </row>
    <row r="267" spans="1:11" ht="21.75" customHeight="1">
      <c r="A267" s="2">
        <v>31</v>
      </c>
      <c r="B267" s="1" t="s">
        <v>25</v>
      </c>
      <c r="C267" s="1">
        <v>2012</v>
      </c>
      <c r="D267" s="1" t="s">
        <v>55</v>
      </c>
      <c r="E267" s="1">
        <v>2</v>
      </c>
      <c r="F267" s="1">
        <v>2</v>
      </c>
      <c r="G267" s="1" t="s">
        <v>27</v>
      </c>
      <c r="H267" s="1" t="s">
        <v>28</v>
      </c>
      <c r="I267" s="3">
        <v>40938.52138888889</v>
      </c>
      <c r="J267" s="1">
        <v>1</v>
      </c>
      <c r="K267" s="1">
        <v>0</v>
      </c>
    </row>
    <row r="268" spans="1:11" ht="21.75" customHeight="1">
      <c r="A268" s="2">
        <v>16</v>
      </c>
      <c r="B268" s="1" t="s">
        <v>41</v>
      </c>
      <c r="C268" s="1">
        <v>2012</v>
      </c>
      <c r="D268" s="1" t="s">
        <v>55</v>
      </c>
      <c r="E268" s="1">
        <v>2</v>
      </c>
      <c r="F268" s="1">
        <v>2</v>
      </c>
      <c r="G268" s="1" t="s">
        <v>27</v>
      </c>
      <c r="H268" s="1" t="s">
        <v>28</v>
      </c>
      <c r="I268" s="3">
        <v>40954.668993055559</v>
      </c>
      <c r="J268" s="1">
        <v>1</v>
      </c>
      <c r="K268" s="1">
        <v>0</v>
      </c>
    </row>
    <row r="269" spans="1:11" ht="21.75" customHeight="1">
      <c r="A269" s="2">
        <v>17</v>
      </c>
      <c r="B269" s="1" t="s">
        <v>41</v>
      </c>
      <c r="C269" s="1">
        <v>2012</v>
      </c>
      <c r="D269" s="1" t="s">
        <v>55</v>
      </c>
      <c r="E269" s="1">
        <v>1</v>
      </c>
      <c r="F269" s="1">
        <v>1</v>
      </c>
      <c r="G269" s="1" t="s">
        <v>27</v>
      </c>
      <c r="H269" s="1" t="s">
        <v>28</v>
      </c>
      <c r="I269" s="3">
        <v>40956.358715277776</v>
      </c>
      <c r="J269" s="1">
        <v>1</v>
      </c>
      <c r="K269" s="1">
        <v>0</v>
      </c>
    </row>
    <row r="270" spans="1:11" ht="21.75" customHeight="1">
      <c r="A270" s="2">
        <v>25</v>
      </c>
      <c r="B270" s="1" t="s">
        <v>41</v>
      </c>
      <c r="C270" s="1">
        <v>2012</v>
      </c>
      <c r="D270" s="1" t="s">
        <v>55</v>
      </c>
      <c r="E270" s="1">
        <v>2</v>
      </c>
      <c r="F270" s="1">
        <v>2</v>
      </c>
      <c r="G270" s="1" t="s">
        <v>27</v>
      </c>
      <c r="H270" s="1" t="s">
        <v>28</v>
      </c>
      <c r="I270" s="3">
        <v>40963.633599537039</v>
      </c>
      <c r="J270" s="1">
        <v>1</v>
      </c>
      <c r="K270" s="1">
        <v>0</v>
      </c>
    </row>
    <row r="271" spans="1:11" ht="21.75" customHeight="1">
      <c r="A271" s="2">
        <v>25</v>
      </c>
      <c r="B271" s="1" t="s">
        <v>41</v>
      </c>
      <c r="C271" s="1">
        <v>2012</v>
      </c>
      <c r="D271" s="1" t="s">
        <v>55</v>
      </c>
      <c r="E271" s="1">
        <v>1</v>
      </c>
      <c r="F271" s="1">
        <v>1</v>
      </c>
      <c r="G271" s="1" t="s">
        <v>27</v>
      </c>
      <c r="H271" s="1" t="s">
        <v>28</v>
      </c>
      <c r="I271" s="3">
        <v>40963.643958333334</v>
      </c>
      <c r="J271" s="1">
        <v>1</v>
      </c>
      <c r="K271" s="1">
        <v>0</v>
      </c>
    </row>
    <row r="272" spans="1:11" ht="21.75" customHeight="1">
      <c r="A272" s="2">
        <v>28</v>
      </c>
      <c r="B272" s="1" t="s">
        <v>41</v>
      </c>
      <c r="C272" s="1">
        <v>2012</v>
      </c>
      <c r="D272" s="1" t="s">
        <v>55</v>
      </c>
      <c r="E272" s="1">
        <v>1</v>
      </c>
      <c r="F272" s="1">
        <v>1</v>
      </c>
      <c r="G272" s="1" t="s">
        <v>27</v>
      </c>
      <c r="H272" s="1" t="s">
        <v>28</v>
      </c>
      <c r="I272" s="3">
        <v>40967.334814814814</v>
      </c>
      <c r="J272" s="1">
        <v>1</v>
      </c>
      <c r="K272" s="1">
        <v>0</v>
      </c>
    </row>
    <row r="273" spans="1:11" ht="21.75" customHeight="1">
      <c r="A273" s="2">
        <v>16</v>
      </c>
      <c r="B273" s="1" t="s">
        <v>31</v>
      </c>
      <c r="C273" s="1">
        <v>2012</v>
      </c>
      <c r="D273" s="1" t="s">
        <v>55</v>
      </c>
      <c r="E273" s="1">
        <v>6</v>
      </c>
      <c r="F273" s="1">
        <v>6</v>
      </c>
      <c r="G273" s="1" t="s">
        <v>27</v>
      </c>
      <c r="H273" s="1" t="s">
        <v>28</v>
      </c>
      <c r="I273" s="3">
        <v>40983.692893518521</v>
      </c>
      <c r="J273" s="1">
        <v>1</v>
      </c>
      <c r="K273" s="1">
        <v>0</v>
      </c>
    </row>
    <row r="274" spans="1:11" ht="21.75" customHeight="1">
      <c r="A274" s="2">
        <v>20</v>
      </c>
      <c r="B274" s="1" t="s">
        <v>31</v>
      </c>
      <c r="C274" s="1">
        <v>2012</v>
      </c>
      <c r="D274" s="1" t="s">
        <v>55</v>
      </c>
      <c r="E274" s="1">
        <v>3</v>
      </c>
      <c r="F274" s="1">
        <v>3</v>
      </c>
      <c r="G274" s="1" t="s">
        <v>27</v>
      </c>
      <c r="H274" s="1" t="s">
        <v>28</v>
      </c>
      <c r="I274" s="3">
        <v>40988.634513888886</v>
      </c>
      <c r="J274" s="1">
        <v>1</v>
      </c>
      <c r="K274" s="1">
        <v>0</v>
      </c>
    </row>
    <row r="275" spans="1:11" ht="21.75" customHeight="1">
      <c r="A275" s="2">
        <v>19</v>
      </c>
      <c r="B275" s="1" t="s">
        <v>32</v>
      </c>
      <c r="C275" s="1">
        <v>2012</v>
      </c>
      <c r="D275" s="1" t="s">
        <v>55</v>
      </c>
      <c r="E275" s="1">
        <v>3</v>
      </c>
      <c r="F275" s="1">
        <v>3</v>
      </c>
      <c r="G275" s="1" t="s">
        <v>27</v>
      </c>
      <c r="H275" s="1" t="s">
        <v>28</v>
      </c>
      <c r="I275" s="3">
        <v>41017.626435185186</v>
      </c>
      <c r="J275" s="1">
        <v>1</v>
      </c>
      <c r="K275" s="1">
        <v>0</v>
      </c>
    </row>
    <row r="276" spans="1:11" ht="21.75" customHeight="1">
      <c r="A276" s="2">
        <v>20</v>
      </c>
      <c r="B276" s="1" t="s">
        <v>32</v>
      </c>
      <c r="C276" s="1">
        <v>2012</v>
      </c>
      <c r="D276" s="1" t="s">
        <v>55</v>
      </c>
      <c r="E276" s="1">
        <v>6</v>
      </c>
      <c r="F276" s="1">
        <v>6</v>
      </c>
      <c r="G276" s="1" t="s">
        <v>27</v>
      </c>
      <c r="H276" s="1" t="s">
        <v>28</v>
      </c>
      <c r="I276" s="3">
        <v>41019.464212962965</v>
      </c>
      <c r="J276" s="1">
        <v>1</v>
      </c>
      <c r="K276" s="1">
        <v>0</v>
      </c>
    </row>
    <row r="277" spans="1:11" ht="21.75" customHeight="1">
      <c r="A277" s="2">
        <v>23</v>
      </c>
      <c r="B277" s="1" t="s">
        <v>34</v>
      </c>
      <c r="C277" s="1">
        <v>2012</v>
      </c>
      <c r="D277" s="1" t="s">
        <v>55</v>
      </c>
      <c r="E277" s="1">
        <v>2</v>
      </c>
      <c r="F277" s="1">
        <v>2</v>
      </c>
      <c r="G277" s="1" t="s">
        <v>27</v>
      </c>
      <c r="H277" s="1" t="s">
        <v>28</v>
      </c>
      <c r="I277" s="3">
        <v>41051.610925925925</v>
      </c>
      <c r="J277" s="1">
        <v>1</v>
      </c>
      <c r="K277" s="1">
        <v>0</v>
      </c>
    </row>
    <row r="278" spans="1:11" ht="21.75" customHeight="1">
      <c r="A278" s="2">
        <v>3</v>
      </c>
      <c r="B278" s="1" t="s">
        <v>37</v>
      </c>
      <c r="C278" s="1">
        <v>2012</v>
      </c>
      <c r="D278" s="1" t="s">
        <v>55</v>
      </c>
      <c r="E278" s="1">
        <v>2</v>
      </c>
      <c r="F278" s="1">
        <v>2</v>
      </c>
      <c r="G278" s="1" t="s">
        <v>27</v>
      </c>
      <c r="H278" s="1" t="s">
        <v>28</v>
      </c>
      <c r="I278" s="3">
        <v>41124.517777777779</v>
      </c>
      <c r="J278" s="1">
        <v>1</v>
      </c>
      <c r="K278" s="1">
        <v>0</v>
      </c>
    </row>
    <row r="279" spans="1:11" ht="21.75" customHeight="1">
      <c r="A279" s="2">
        <v>15</v>
      </c>
      <c r="B279" s="1" t="s">
        <v>37</v>
      </c>
      <c r="C279" s="1">
        <v>2012</v>
      </c>
      <c r="D279" s="1" t="s">
        <v>55</v>
      </c>
      <c r="E279" s="1">
        <v>5</v>
      </c>
      <c r="F279" s="1">
        <v>5</v>
      </c>
      <c r="G279" s="1" t="s">
        <v>27</v>
      </c>
      <c r="H279" s="1" t="s">
        <v>28</v>
      </c>
      <c r="I279" s="3">
        <v>41136.496111111112</v>
      </c>
      <c r="J279" s="1">
        <v>1</v>
      </c>
      <c r="K279" s="1">
        <v>0</v>
      </c>
    </row>
    <row r="280" spans="1:11" ht="21.75" customHeight="1">
      <c r="A280" s="2">
        <v>21</v>
      </c>
      <c r="B280" s="1" t="s">
        <v>38</v>
      </c>
      <c r="C280" s="1">
        <v>2012</v>
      </c>
      <c r="D280" s="1" t="s">
        <v>55</v>
      </c>
      <c r="E280" s="1">
        <v>2</v>
      </c>
      <c r="F280" s="1">
        <v>2</v>
      </c>
      <c r="G280" s="1" t="s">
        <v>27</v>
      </c>
      <c r="H280" s="1" t="s">
        <v>28</v>
      </c>
      <c r="I280" s="3">
        <v>41172.728518518517</v>
      </c>
      <c r="J280" s="1">
        <v>1</v>
      </c>
      <c r="K280" s="1">
        <v>0</v>
      </c>
    </row>
    <row r="281" spans="1:11" ht="21.75" customHeight="1">
      <c r="A281" s="2">
        <v>30</v>
      </c>
      <c r="B281" s="1" t="s">
        <v>38</v>
      </c>
      <c r="C281" s="1">
        <v>2012</v>
      </c>
      <c r="D281" s="1" t="s">
        <v>55</v>
      </c>
      <c r="E281" s="1">
        <v>2</v>
      </c>
      <c r="F281" s="1">
        <v>2</v>
      </c>
      <c r="G281" s="1" t="s">
        <v>27</v>
      </c>
      <c r="H281" s="1" t="s">
        <v>33</v>
      </c>
      <c r="I281" s="3">
        <v>41185.638518518521</v>
      </c>
      <c r="J281" s="1">
        <v>1</v>
      </c>
      <c r="K281" s="1">
        <v>0</v>
      </c>
    </row>
    <row r="282" spans="1:11" ht="21.75" customHeight="1">
      <c r="A282" s="2">
        <v>11</v>
      </c>
      <c r="B282" s="1" t="s">
        <v>43</v>
      </c>
      <c r="C282" s="1">
        <v>2012</v>
      </c>
      <c r="D282" s="1" t="s">
        <v>55</v>
      </c>
      <c r="E282" s="1">
        <v>2</v>
      </c>
      <c r="F282" s="1">
        <v>2</v>
      </c>
      <c r="G282" s="1" t="s">
        <v>27</v>
      </c>
      <c r="H282" s="1" t="s">
        <v>28</v>
      </c>
      <c r="I282" s="3">
        <v>41193.391319444447</v>
      </c>
      <c r="J282" s="1">
        <v>1</v>
      </c>
      <c r="K282" s="1">
        <v>0</v>
      </c>
    </row>
    <row r="283" spans="1:11" ht="21.75" customHeight="1">
      <c r="A283" s="2">
        <v>17</v>
      </c>
      <c r="B283" s="1" t="s">
        <v>43</v>
      </c>
      <c r="C283" s="1">
        <v>2012</v>
      </c>
      <c r="D283" s="1" t="s">
        <v>55</v>
      </c>
      <c r="E283" s="1">
        <v>1</v>
      </c>
      <c r="F283" s="1">
        <v>1</v>
      </c>
      <c r="G283" s="1" t="s">
        <v>27</v>
      </c>
      <c r="H283" s="1" t="s">
        <v>28</v>
      </c>
      <c r="I283" s="3">
        <v>41201.754189814812</v>
      </c>
      <c r="J283" s="1">
        <v>1</v>
      </c>
      <c r="K283" s="1">
        <v>0</v>
      </c>
    </row>
    <row r="284" spans="1:11" ht="21.75" customHeight="1">
      <c r="A284" s="2">
        <v>7</v>
      </c>
      <c r="B284" s="1" t="s">
        <v>44</v>
      </c>
      <c r="C284" s="1">
        <v>2012</v>
      </c>
      <c r="D284" s="1" t="s">
        <v>55</v>
      </c>
      <c r="E284" s="1">
        <v>4</v>
      </c>
      <c r="F284" s="1">
        <v>4</v>
      </c>
      <c r="G284" s="1" t="s">
        <v>27</v>
      </c>
      <c r="H284" s="1" t="s">
        <v>28</v>
      </c>
      <c r="I284" s="3">
        <v>41219.511944444443</v>
      </c>
      <c r="J284" s="1">
        <v>1</v>
      </c>
      <c r="K284" s="1">
        <v>0</v>
      </c>
    </row>
    <row r="285" spans="1:11" ht="21.75" customHeight="1">
      <c r="A285" s="2">
        <v>23</v>
      </c>
      <c r="B285" s="1" t="s">
        <v>44</v>
      </c>
      <c r="C285" s="1">
        <v>2012</v>
      </c>
      <c r="D285" s="1" t="s">
        <v>55</v>
      </c>
      <c r="E285" s="1">
        <v>6</v>
      </c>
      <c r="F285" s="1">
        <v>6</v>
      </c>
      <c r="G285" s="1" t="s">
        <v>27</v>
      </c>
      <c r="H285" s="1" t="s">
        <v>28</v>
      </c>
      <c r="I285" s="3">
        <v>41236.440798611111</v>
      </c>
      <c r="J285" s="1">
        <v>1</v>
      </c>
      <c r="K285" s="1">
        <v>0</v>
      </c>
    </row>
    <row r="286" spans="1:11" ht="21.75" customHeight="1">
      <c r="A286" s="2">
        <v>21</v>
      </c>
      <c r="B286" s="1" t="s">
        <v>45</v>
      </c>
      <c r="C286" s="1">
        <v>2012</v>
      </c>
      <c r="D286" s="1" t="s">
        <v>55</v>
      </c>
      <c r="E286" s="1">
        <v>2</v>
      </c>
      <c r="F286" s="1">
        <v>2</v>
      </c>
      <c r="G286" s="1" t="s">
        <v>27</v>
      </c>
      <c r="H286" s="1" t="s">
        <v>28</v>
      </c>
      <c r="I286" s="3">
        <v>41264.663460648146</v>
      </c>
      <c r="J286" s="1">
        <v>1</v>
      </c>
      <c r="K286" s="1">
        <v>0</v>
      </c>
    </row>
    <row r="287" spans="1:11" ht="21.75" customHeight="1">
      <c r="A287" s="2">
        <v>21</v>
      </c>
      <c r="B287" s="1" t="s">
        <v>45</v>
      </c>
      <c r="C287" s="1">
        <v>2012</v>
      </c>
      <c r="D287" s="1" t="s">
        <v>55</v>
      </c>
      <c r="E287" s="1">
        <v>1</v>
      </c>
      <c r="F287" s="1">
        <v>1</v>
      </c>
      <c r="G287" s="1" t="s">
        <v>27</v>
      </c>
      <c r="H287" s="1" t="s">
        <v>28</v>
      </c>
      <c r="I287" s="3">
        <v>41264.664270833331</v>
      </c>
      <c r="J287" s="1">
        <v>1</v>
      </c>
      <c r="K287" s="1">
        <v>0</v>
      </c>
    </row>
    <row r="288" spans="1:11" ht="21.75" customHeight="1">
      <c r="A288" s="2">
        <v>8</v>
      </c>
      <c r="B288" s="1" t="s">
        <v>25</v>
      </c>
      <c r="C288" s="1">
        <v>2012</v>
      </c>
      <c r="D288" s="1" t="s">
        <v>55</v>
      </c>
      <c r="E288" s="1">
        <v>4</v>
      </c>
      <c r="F288" s="1">
        <v>4</v>
      </c>
      <c r="G288" s="1" t="s">
        <v>27</v>
      </c>
      <c r="H288" s="1" t="s">
        <v>28</v>
      </c>
      <c r="I288" s="3">
        <v>40917.592060185183</v>
      </c>
      <c r="J288" s="1">
        <v>1</v>
      </c>
      <c r="K288" s="1">
        <v>0</v>
      </c>
    </row>
    <row r="289" spans="1:11" ht="21.75" customHeight="1">
      <c r="A289" s="2">
        <v>2</v>
      </c>
      <c r="B289" s="1" t="s">
        <v>41</v>
      </c>
      <c r="C289" s="1">
        <v>2012</v>
      </c>
      <c r="D289" s="1" t="s">
        <v>55</v>
      </c>
      <c r="E289" s="1">
        <v>2</v>
      </c>
      <c r="F289" s="1">
        <v>2</v>
      </c>
      <c r="G289" s="1" t="s">
        <v>27</v>
      </c>
      <c r="H289" s="1" t="s">
        <v>28</v>
      </c>
      <c r="I289" s="3">
        <v>40940.608101851853</v>
      </c>
      <c r="J289" s="1">
        <v>1</v>
      </c>
      <c r="K289" s="1">
        <v>0</v>
      </c>
    </row>
    <row r="290" spans="1:11" ht="21.75" customHeight="1">
      <c r="A290" s="2">
        <v>19</v>
      </c>
      <c r="B290" s="1" t="s">
        <v>41</v>
      </c>
      <c r="C290" s="1">
        <v>2012</v>
      </c>
      <c r="D290" s="1" t="s">
        <v>55</v>
      </c>
      <c r="E290" s="1">
        <v>3</v>
      </c>
      <c r="F290" s="1">
        <v>3</v>
      </c>
      <c r="G290" s="1" t="s">
        <v>27</v>
      </c>
      <c r="H290" s="1" t="s">
        <v>28</v>
      </c>
      <c r="I290" s="3">
        <v>40961.565868055557</v>
      </c>
      <c r="J290" s="1">
        <v>1</v>
      </c>
      <c r="K290" s="1">
        <v>0</v>
      </c>
    </row>
    <row r="291" spans="1:11" ht="21.75" customHeight="1">
      <c r="A291" s="2">
        <v>28</v>
      </c>
      <c r="B291" s="1" t="s">
        <v>41</v>
      </c>
      <c r="C291" s="1">
        <v>2012</v>
      </c>
      <c r="D291" s="1" t="s">
        <v>55</v>
      </c>
      <c r="E291" s="1">
        <v>1</v>
      </c>
      <c r="F291" s="1">
        <v>1</v>
      </c>
      <c r="G291" s="1" t="s">
        <v>27</v>
      </c>
      <c r="H291" s="1" t="s">
        <v>28</v>
      </c>
      <c r="I291" s="3">
        <v>40967.337824074071</v>
      </c>
      <c r="J291" s="1">
        <v>1</v>
      </c>
      <c r="K291" s="1">
        <v>0</v>
      </c>
    </row>
    <row r="292" spans="1:11" ht="21.75" customHeight="1">
      <c r="A292" s="2">
        <v>3</v>
      </c>
      <c r="B292" s="1" t="s">
        <v>32</v>
      </c>
      <c r="C292" s="1">
        <v>2012</v>
      </c>
      <c r="D292" s="1" t="s">
        <v>55</v>
      </c>
      <c r="E292" s="1">
        <v>5</v>
      </c>
      <c r="F292" s="1">
        <v>5</v>
      </c>
      <c r="G292" s="1" t="s">
        <v>27</v>
      </c>
      <c r="H292" s="1" t="s">
        <v>33</v>
      </c>
      <c r="I292" s="3">
        <v>41001.593425925923</v>
      </c>
      <c r="J292" s="1">
        <v>1</v>
      </c>
      <c r="K292" s="1">
        <v>0</v>
      </c>
    </row>
    <row r="293" spans="1:11" ht="21.75" customHeight="1">
      <c r="A293" s="2">
        <v>3</v>
      </c>
      <c r="B293" s="1" t="s">
        <v>34</v>
      </c>
      <c r="C293" s="1">
        <v>2012</v>
      </c>
      <c r="D293" s="1" t="s">
        <v>55</v>
      </c>
      <c r="E293" s="1">
        <v>2</v>
      </c>
      <c r="F293" s="1">
        <v>2</v>
      </c>
      <c r="G293" s="1" t="s">
        <v>27</v>
      </c>
      <c r="H293" s="1" t="s">
        <v>28</v>
      </c>
      <c r="I293" s="3">
        <v>41031.610173611109</v>
      </c>
      <c r="J293" s="1">
        <v>1</v>
      </c>
      <c r="K293" s="1">
        <v>0</v>
      </c>
    </row>
    <row r="294" spans="1:11" ht="21.75" customHeight="1">
      <c r="A294" s="2">
        <v>27</v>
      </c>
      <c r="B294" s="1" t="s">
        <v>34</v>
      </c>
      <c r="C294" s="1">
        <v>2012</v>
      </c>
      <c r="D294" s="1" t="s">
        <v>55</v>
      </c>
      <c r="E294" s="1">
        <v>2</v>
      </c>
      <c r="F294" s="1">
        <v>2</v>
      </c>
      <c r="G294" s="1" t="s">
        <v>27</v>
      </c>
      <c r="H294" s="1" t="s">
        <v>28</v>
      </c>
      <c r="I294" s="3">
        <v>41055.423541666663</v>
      </c>
      <c r="J294" s="1">
        <v>1</v>
      </c>
      <c r="K294" s="1">
        <v>0</v>
      </c>
    </row>
    <row r="295" spans="1:11" ht="21.75" customHeight="1">
      <c r="A295" s="2">
        <v>12</v>
      </c>
      <c r="B295" s="1" t="s">
        <v>35</v>
      </c>
      <c r="C295" s="1">
        <v>2012</v>
      </c>
      <c r="D295" s="1" t="s">
        <v>55</v>
      </c>
      <c r="E295" s="1">
        <v>2</v>
      </c>
      <c r="F295" s="1">
        <v>2</v>
      </c>
      <c r="G295" s="1" t="s">
        <v>27</v>
      </c>
      <c r="H295" s="1" t="s">
        <v>28</v>
      </c>
      <c r="I295" s="3">
        <v>41072.461134259262</v>
      </c>
      <c r="J295" s="1">
        <v>1</v>
      </c>
      <c r="K295" s="1">
        <v>0</v>
      </c>
    </row>
    <row r="296" spans="1:11" ht="21.75" customHeight="1">
      <c r="A296" s="2">
        <v>10</v>
      </c>
      <c r="B296" s="1" t="s">
        <v>25</v>
      </c>
      <c r="C296" s="1">
        <v>2012</v>
      </c>
      <c r="D296" s="1" t="s">
        <v>55</v>
      </c>
      <c r="E296" s="1">
        <v>1</v>
      </c>
      <c r="F296" s="1">
        <v>1</v>
      </c>
      <c r="G296" s="1" t="s">
        <v>27</v>
      </c>
      <c r="H296" s="1" t="s">
        <v>28</v>
      </c>
      <c r="I296" s="3">
        <v>40806.710578703707</v>
      </c>
      <c r="J296" s="1">
        <v>1</v>
      </c>
      <c r="K296" s="1">
        <v>0</v>
      </c>
    </row>
    <row r="297" spans="1:11" ht="21.75" customHeight="1">
      <c r="A297" s="2">
        <v>11</v>
      </c>
      <c r="B297" s="1" t="s">
        <v>25</v>
      </c>
      <c r="C297" s="1">
        <v>2012</v>
      </c>
      <c r="D297" s="1" t="s">
        <v>55</v>
      </c>
      <c r="E297" s="1">
        <v>2</v>
      </c>
      <c r="F297" s="1">
        <v>2</v>
      </c>
      <c r="G297" s="1" t="s">
        <v>27</v>
      </c>
      <c r="H297" s="1" t="s">
        <v>28</v>
      </c>
      <c r="I297" s="3">
        <v>40919.456018518518</v>
      </c>
      <c r="J297" s="1">
        <v>1</v>
      </c>
      <c r="K297" s="1">
        <v>0</v>
      </c>
    </row>
    <row r="298" spans="1:11" ht="21.75" customHeight="1">
      <c r="A298" s="2">
        <v>26</v>
      </c>
      <c r="B298" s="1" t="s">
        <v>25</v>
      </c>
      <c r="C298" s="1">
        <v>2012</v>
      </c>
      <c r="D298" s="1" t="s">
        <v>55</v>
      </c>
      <c r="E298" s="1">
        <v>1</v>
      </c>
      <c r="F298" s="1">
        <v>1</v>
      </c>
      <c r="G298" s="1" t="s">
        <v>27</v>
      </c>
      <c r="H298" s="1" t="s">
        <v>28</v>
      </c>
      <c r="I298" s="3">
        <v>40933.614618055559</v>
      </c>
      <c r="J298" s="1">
        <v>1</v>
      </c>
      <c r="K298" s="1">
        <v>0</v>
      </c>
    </row>
    <row r="299" spans="1:11" ht="21.75" customHeight="1">
      <c r="A299" s="2">
        <v>3</v>
      </c>
      <c r="B299" s="1" t="s">
        <v>43</v>
      </c>
      <c r="C299" s="1">
        <v>2012</v>
      </c>
      <c r="D299" s="1" t="s">
        <v>55</v>
      </c>
      <c r="E299" s="1">
        <v>2</v>
      </c>
      <c r="F299" s="1">
        <v>2</v>
      </c>
      <c r="G299" s="1" t="s">
        <v>27</v>
      </c>
      <c r="H299" s="1" t="s">
        <v>28</v>
      </c>
      <c r="I299" s="3">
        <v>41186.325138888889</v>
      </c>
      <c r="J299" s="1">
        <v>1</v>
      </c>
      <c r="K299" s="1">
        <v>0</v>
      </c>
    </row>
    <row r="300" spans="1:11" ht="21.75" customHeight="1">
      <c r="A300" s="2">
        <v>18</v>
      </c>
      <c r="B300" s="1" t="s">
        <v>43</v>
      </c>
      <c r="C300" s="1">
        <v>2012</v>
      </c>
      <c r="D300" s="1" t="s">
        <v>55</v>
      </c>
      <c r="E300" s="1">
        <v>3</v>
      </c>
      <c r="F300" s="1">
        <v>3</v>
      </c>
      <c r="G300" s="1" t="s">
        <v>27</v>
      </c>
      <c r="H300" s="1" t="s">
        <v>28</v>
      </c>
      <c r="I300" s="3">
        <v>41204.65792824074</v>
      </c>
      <c r="J300" s="1">
        <v>1</v>
      </c>
      <c r="K300" s="1">
        <v>0</v>
      </c>
    </row>
    <row r="301" spans="1:11" ht="21.75" customHeight="1">
      <c r="A301" s="2">
        <v>19</v>
      </c>
      <c r="B301" s="1" t="s">
        <v>43</v>
      </c>
      <c r="C301" s="1">
        <v>2012</v>
      </c>
      <c r="D301" s="1" t="s">
        <v>55</v>
      </c>
      <c r="E301" s="1">
        <v>2</v>
      </c>
      <c r="F301" s="1">
        <v>2</v>
      </c>
      <c r="G301" s="1" t="s">
        <v>27</v>
      </c>
      <c r="H301" s="1" t="s">
        <v>33</v>
      </c>
      <c r="I301" s="3">
        <v>41206.404907407406</v>
      </c>
      <c r="J301" s="1">
        <v>1</v>
      </c>
      <c r="K301" s="1">
        <v>0</v>
      </c>
    </row>
    <row r="302" spans="1:11" ht="21.75" customHeight="1">
      <c r="A302" s="2">
        <v>28</v>
      </c>
      <c r="B302" s="1" t="s">
        <v>44</v>
      </c>
      <c r="C302" s="1">
        <v>2012</v>
      </c>
      <c r="D302" s="1" t="s">
        <v>55</v>
      </c>
      <c r="E302" s="1">
        <v>3</v>
      </c>
      <c r="F302" s="1">
        <v>3</v>
      </c>
      <c r="G302" s="1" t="s">
        <v>27</v>
      </c>
      <c r="H302" s="1" t="s">
        <v>33</v>
      </c>
      <c r="I302" s="3">
        <v>41240.511006944442</v>
      </c>
      <c r="J302" s="1">
        <v>1</v>
      </c>
      <c r="K302" s="1">
        <v>0</v>
      </c>
    </row>
    <row r="303" spans="1:11" ht="21.75" customHeight="1">
      <c r="A303" s="2">
        <v>28</v>
      </c>
      <c r="B303" s="1" t="s">
        <v>45</v>
      </c>
      <c r="C303" s="1">
        <v>2012</v>
      </c>
      <c r="D303" s="1" t="s">
        <v>55</v>
      </c>
      <c r="E303" s="1">
        <v>10</v>
      </c>
      <c r="F303" s="1">
        <v>10</v>
      </c>
      <c r="G303" s="1" t="s">
        <v>27</v>
      </c>
      <c r="H303" s="1" t="s">
        <v>28</v>
      </c>
      <c r="I303" s="3">
        <v>41271.596886574072</v>
      </c>
      <c r="J303" s="1">
        <v>1</v>
      </c>
      <c r="K303" s="1">
        <v>0</v>
      </c>
    </row>
    <row r="304" spans="1:11" ht="21.75" customHeight="1">
      <c r="A304" s="2">
        <v>9</v>
      </c>
      <c r="B304" s="1" t="s">
        <v>35</v>
      </c>
      <c r="C304" s="1">
        <v>2012</v>
      </c>
      <c r="D304" s="1" t="s">
        <v>55</v>
      </c>
      <c r="E304" s="1">
        <v>5</v>
      </c>
      <c r="F304" s="1">
        <v>5</v>
      </c>
      <c r="G304" s="1" t="s">
        <v>27</v>
      </c>
      <c r="H304" s="1" t="s">
        <v>28</v>
      </c>
      <c r="I304" s="3">
        <v>41071.509675925925</v>
      </c>
      <c r="J304" s="1">
        <v>1</v>
      </c>
      <c r="K304" s="1">
        <v>0</v>
      </c>
    </row>
    <row r="305" spans="1:11" ht="21.75" customHeight="1">
      <c r="A305" s="2">
        <v>13</v>
      </c>
      <c r="B305" s="1" t="s">
        <v>25</v>
      </c>
      <c r="C305" s="1">
        <v>2012</v>
      </c>
      <c r="D305" s="1" t="s">
        <v>56</v>
      </c>
      <c r="E305" s="1">
        <v>2</v>
      </c>
      <c r="F305" s="1">
        <v>2</v>
      </c>
      <c r="G305" s="1" t="s">
        <v>27</v>
      </c>
      <c r="H305" s="1" t="s">
        <v>28</v>
      </c>
      <c r="I305" s="3">
        <v>40922.354988425926</v>
      </c>
      <c r="J305" s="1">
        <v>1</v>
      </c>
      <c r="K305" s="1">
        <v>0</v>
      </c>
    </row>
    <row r="306" spans="1:11" ht="21.75" customHeight="1">
      <c r="A306" s="2">
        <v>7</v>
      </c>
      <c r="B306" s="1" t="s">
        <v>41</v>
      </c>
      <c r="C306" s="1">
        <v>2012</v>
      </c>
      <c r="D306" s="1" t="s">
        <v>56</v>
      </c>
      <c r="E306" s="1">
        <v>2</v>
      </c>
      <c r="F306" s="1">
        <v>2</v>
      </c>
      <c r="G306" s="1" t="s">
        <v>27</v>
      </c>
      <c r="H306" s="1" t="s">
        <v>28</v>
      </c>
      <c r="I306" s="3">
        <v>40946.472604166665</v>
      </c>
      <c r="J306" s="1">
        <v>1</v>
      </c>
      <c r="K306" s="1">
        <v>0</v>
      </c>
    </row>
    <row r="307" spans="1:11" ht="21.75" customHeight="1">
      <c r="A307" s="2">
        <v>30</v>
      </c>
      <c r="B307" s="1" t="s">
        <v>41</v>
      </c>
      <c r="C307" s="1">
        <v>2012</v>
      </c>
      <c r="D307" s="1" t="s">
        <v>56</v>
      </c>
      <c r="E307" s="1">
        <v>2</v>
      </c>
      <c r="F307" s="1">
        <v>2</v>
      </c>
      <c r="G307" s="1" t="s">
        <v>27</v>
      </c>
      <c r="H307" s="1" t="s">
        <v>28</v>
      </c>
      <c r="I307" s="3">
        <v>40968.681064814817</v>
      </c>
      <c r="J307" s="1">
        <v>1</v>
      </c>
      <c r="K307" s="1">
        <v>0</v>
      </c>
    </row>
    <row r="308" spans="1:11" ht="21.75" customHeight="1">
      <c r="A308" s="2">
        <v>17</v>
      </c>
      <c r="B308" s="1" t="s">
        <v>31</v>
      </c>
      <c r="C308" s="1">
        <v>2012</v>
      </c>
      <c r="D308" s="1" t="s">
        <v>56</v>
      </c>
      <c r="E308" s="1">
        <v>1</v>
      </c>
      <c r="F308" s="1">
        <v>1</v>
      </c>
      <c r="G308" s="1" t="s">
        <v>27</v>
      </c>
      <c r="H308" s="1" t="s">
        <v>28</v>
      </c>
      <c r="I308" s="3">
        <v>40988.725115740737</v>
      </c>
      <c r="J308" s="1">
        <v>1</v>
      </c>
      <c r="K308" s="1">
        <v>0</v>
      </c>
    </row>
    <row r="309" spans="1:11" ht="21.75" customHeight="1">
      <c r="A309" s="2">
        <v>20</v>
      </c>
      <c r="B309" s="1" t="s">
        <v>31</v>
      </c>
      <c r="C309" s="1">
        <v>2012</v>
      </c>
      <c r="D309" s="1" t="s">
        <v>56</v>
      </c>
      <c r="E309" s="1">
        <v>1</v>
      </c>
      <c r="F309" s="1">
        <v>1</v>
      </c>
      <c r="G309" s="1" t="s">
        <v>27</v>
      </c>
      <c r="H309" s="1" t="s">
        <v>28</v>
      </c>
      <c r="I309" s="3">
        <v>40988.672094907408</v>
      </c>
      <c r="J309" s="1">
        <v>1</v>
      </c>
      <c r="K309" s="1">
        <v>0</v>
      </c>
    </row>
    <row r="310" spans="1:11" ht="21.75" customHeight="1">
      <c r="A310" s="2">
        <v>7</v>
      </c>
      <c r="B310" s="1" t="s">
        <v>31</v>
      </c>
      <c r="C310" s="1">
        <v>2012</v>
      </c>
      <c r="D310" s="1" t="s">
        <v>56</v>
      </c>
      <c r="E310" s="1">
        <v>1</v>
      </c>
      <c r="F310" s="1">
        <v>1</v>
      </c>
      <c r="G310" s="1" t="s">
        <v>27</v>
      </c>
      <c r="H310" s="1" t="s">
        <v>28</v>
      </c>
      <c r="I310" s="3">
        <v>40975.435879629629</v>
      </c>
      <c r="J310" s="1">
        <v>1</v>
      </c>
      <c r="K310" s="1">
        <v>0</v>
      </c>
    </row>
    <row r="311" spans="1:11" ht="21.75" customHeight="1">
      <c r="A311" s="2">
        <v>20</v>
      </c>
      <c r="B311" s="1" t="s">
        <v>31</v>
      </c>
      <c r="C311" s="1">
        <v>2012</v>
      </c>
      <c r="D311" s="1" t="s">
        <v>56</v>
      </c>
      <c r="E311" s="1">
        <v>1</v>
      </c>
      <c r="F311" s="1">
        <v>1</v>
      </c>
      <c r="G311" s="1" t="s">
        <v>27</v>
      </c>
      <c r="H311" s="1" t="s">
        <v>28</v>
      </c>
      <c r="I311" s="3">
        <v>40988.552291666667</v>
      </c>
      <c r="J311" s="1">
        <v>1</v>
      </c>
      <c r="K311" s="1">
        <v>0</v>
      </c>
    </row>
    <row r="312" spans="1:11" ht="21.75" customHeight="1">
      <c r="A312" s="2">
        <v>20</v>
      </c>
      <c r="B312" s="1" t="s">
        <v>31</v>
      </c>
      <c r="C312" s="1">
        <v>2012</v>
      </c>
      <c r="D312" s="1" t="s">
        <v>56</v>
      </c>
      <c r="E312" s="1">
        <v>1</v>
      </c>
      <c r="F312" s="1">
        <v>1</v>
      </c>
      <c r="G312" s="1" t="s">
        <v>27</v>
      </c>
      <c r="H312" s="1" t="s">
        <v>28</v>
      </c>
      <c r="I312" s="3">
        <v>40988.555243055554</v>
      </c>
      <c r="J312" s="1">
        <v>1</v>
      </c>
      <c r="K312" s="1">
        <v>0</v>
      </c>
    </row>
    <row r="313" spans="1:11" ht="21.75" customHeight="1">
      <c r="A313" s="2">
        <v>32</v>
      </c>
      <c r="B313" s="1" t="s">
        <v>31</v>
      </c>
      <c r="C313" s="1">
        <v>2012</v>
      </c>
      <c r="D313" s="1" t="s">
        <v>56</v>
      </c>
      <c r="E313" s="1">
        <v>1</v>
      </c>
      <c r="F313" s="1">
        <v>1</v>
      </c>
      <c r="G313" s="1" t="s">
        <v>27</v>
      </c>
      <c r="H313" s="1" t="s">
        <v>28</v>
      </c>
      <c r="I313" s="3">
        <v>41001.438923611109</v>
      </c>
      <c r="J313" s="1">
        <v>1</v>
      </c>
      <c r="K313" s="1">
        <v>0</v>
      </c>
    </row>
    <row r="314" spans="1:11" ht="21.75" customHeight="1">
      <c r="A314" s="2">
        <v>4</v>
      </c>
      <c r="B314" s="1" t="s">
        <v>32</v>
      </c>
      <c r="C314" s="1">
        <v>2012</v>
      </c>
      <c r="D314" s="1" t="s">
        <v>56</v>
      </c>
      <c r="E314" s="1">
        <v>10</v>
      </c>
      <c r="F314" s="1">
        <v>10</v>
      </c>
      <c r="G314" s="1" t="s">
        <v>27</v>
      </c>
      <c r="H314" s="1" t="s">
        <v>28</v>
      </c>
      <c r="I314" s="3">
        <v>41003.510416666664</v>
      </c>
      <c r="J314" s="1">
        <v>1</v>
      </c>
      <c r="K314" s="1">
        <v>0</v>
      </c>
    </row>
    <row r="315" spans="1:11" ht="21.75" customHeight="1">
      <c r="A315" s="2">
        <v>31</v>
      </c>
      <c r="B315" s="1" t="s">
        <v>32</v>
      </c>
      <c r="C315" s="1">
        <v>2012</v>
      </c>
      <c r="D315" s="1" t="s">
        <v>56</v>
      </c>
      <c r="E315" s="1">
        <v>1</v>
      </c>
      <c r="F315" s="1">
        <v>1</v>
      </c>
      <c r="G315" s="1" t="s">
        <v>27</v>
      </c>
      <c r="H315" s="1" t="s">
        <v>28</v>
      </c>
      <c r="I315" s="3">
        <v>41029.620289351849</v>
      </c>
      <c r="J315" s="1">
        <v>1</v>
      </c>
      <c r="K315" s="1">
        <v>0</v>
      </c>
    </row>
    <row r="316" spans="1:11" ht="21.75" customHeight="1">
      <c r="A316" s="2">
        <v>26</v>
      </c>
      <c r="B316" s="1" t="s">
        <v>34</v>
      </c>
      <c r="C316" s="1">
        <v>2012</v>
      </c>
      <c r="D316" s="1" t="s">
        <v>56</v>
      </c>
      <c r="E316" s="1">
        <v>1</v>
      </c>
      <c r="F316" s="1">
        <v>1</v>
      </c>
      <c r="G316" s="1" t="s">
        <v>27</v>
      </c>
      <c r="H316" s="1" t="s">
        <v>28</v>
      </c>
      <c r="I316" s="3">
        <v>41054.443715277775</v>
      </c>
      <c r="J316" s="1">
        <v>1</v>
      </c>
      <c r="K316" s="1">
        <v>0</v>
      </c>
    </row>
    <row r="317" spans="1:11" ht="21.75" customHeight="1">
      <c r="A317" s="2">
        <v>12</v>
      </c>
      <c r="B317" s="1" t="s">
        <v>35</v>
      </c>
      <c r="C317" s="1">
        <v>2012</v>
      </c>
      <c r="D317" s="1" t="s">
        <v>56</v>
      </c>
      <c r="E317" s="1">
        <v>1</v>
      </c>
      <c r="F317" s="1">
        <v>1</v>
      </c>
      <c r="G317" s="1" t="s">
        <v>27</v>
      </c>
      <c r="H317" s="1" t="s">
        <v>28</v>
      </c>
      <c r="I317" s="3">
        <v>41071.686597222222</v>
      </c>
      <c r="J317" s="1">
        <v>1</v>
      </c>
      <c r="K317" s="1">
        <v>0</v>
      </c>
    </row>
    <row r="318" spans="1:11" ht="21.75" customHeight="1">
      <c r="A318" s="2">
        <v>22</v>
      </c>
      <c r="B318" s="1" t="s">
        <v>36</v>
      </c>
      <c r="C318" s="1">
        <v>2012</v>
      </c>
      <c r="D318" s="1" t="s">
        <v>56</v>
      </c>
      <c r="E318" s="1">
        <v>2</v>
      </c>
      <c r="F318" s="1">
        <v>2</v>
      </c>
      <c r="G318" s="1" t="s">
        <v>27</v>
      </c>
      <c r="H318" s="1" t="s">
        <v>28</v>
      </c>
      <c r="I318" s="3">
        <v>41114.503425925926</v>
      </c>
      <c r="J318" s="1">
        <v>1</v>
      </c>
      <c r="K318" s="1">
        <v>0</v>
      </c>
    </row>
    <row r="319" spans="1:11" ht="21.75" customHeight="1">
      <c r="A319" s="2">
        <v>22</v>
      </c>
      <c r="B319" s="1" t="s">
        <v>36</v>
      </c>
      <c r="C319" s="1">
        <v>2012</v>
      </c>
      <c r="D319" s="1" t="s">
        <v>56</v>
      </c>
      <c r="E319" s="1">
        <v>2</v>
      </c>
      <c r="F319" s="1">
        <v>2</v>
      </c>
      <c r="G319" s="1" t="s">
        <v>27</v>
      </c>
      <c r="H319" s="1" t="s">
        <v>28</v>
      </c>
      <c r="I319" s="3">
        <v>41113.769594907404</v>
      </c>
      <c r="J319" s="1">
        <v>1</v>
      </c>
      <c r="K319" s="1">
        <v>0</v>
      </c>
    </row>
    <row r="320" spans="1:11" ht="21.75" customHeight="1">
      <c r="A320" s="2">
        <v>4</v>
      </c>
      <c r="B320" s="1" t="s">
        <v>37</v>
      </c>
      <c r="C320" s="1">
        <v>2012</v>
      </c>
      <c r="D320" s="1" t="s">
        <v>56</v>
      </c>
      <c r="E320" s="1">
        <v>1</v>
      </c>
      <c r="F320" s="1">
        <v>1</v>
      </c>
      <c r="G320" s="1" t="s">
        <v>27</v>
      </c>
      <c r="H320" s="1" t="s">
        <v>28</v>
      </c>
      <c r="I320" s="3">
        <v>41124.77008101852</v>
      </c>
      <c r="J320" s="1">
        <v>1</v>
      </c>
      <c r="K320" s="1">
        <v>0</v>
      </c>
    </row>
    <row r="321" spans="1:11" ht="21.75" customHeight="1">
      <c r="A321" s="2">
        <v>8</v>
      </c>
      <c r="B321" s="1" t="s">
        <v>37</v>
      </c>
      <c r="C321" s="1">
        <v>2012</v>
      </c>
      <c r="D321" s="1" t="s">
        <v>56</v>
      </c>
      <c r="E321" s="1">
        <v>3</v>
      </c>
      <c r="F321" s="1">
        <v>3</v>
      </c>
      <c r="G321" s="1" t="s">
        <v>27</v>
      </c>
      <c r="H321" s="1" t="s">
        <v>28</v>
      </c>
      <c r="I321" s="3">
        <v>41128.664398148147</v>
      </c>
      <c r="J321" s="1">
        <v>1</v>
      </c>
      <c r="K321" s="1">
        <v>0</v>
      </c>
    </row>
    <row r="322" spans="1:11" ht="21.75" customHeight="1">
      <c r="A322" s="2">
        <v>28</v>
      </c>
      <c r="B322" s="1" t="s">
        <v>37</v>
      </c>
      <c r="C322" s="1">
        <v>2012</v>
      </c>
      <c r="D322" s="1" t="s">
        <v>56</v>
      </c>
      <c r="E322" s="1">
        <v>2</v>
      </c>
      <c r="F322" s="1">
        <v>2</v>
      </c>
      <c r="G322" s="1" t="s">
        <v>27</v>
      </c>
      <c r="H322" s="1" t="s">
        <v>28</v>
      </c>
      <c r="I322" s="3">
        <v>41149.522685185184</v>
      </c>
      <c r="J322" s="1">
        <v>1</v>
      </c>
      <c r="K322" s="1">
        <v>0</v>
      </c>
    </row>
    <row r="323" spans="1:11" ht="21.75" customHeight="1">
      <c r="A323" s="2">
        <v>15</v>
      </c>
      <c r="B323" s="1" t="s">
        <v>38</v>
      </c>
      <c r="C323" s="1">
        <v>2012</v>
      </c>
      <c r="D323" s="1" t="s">
        <v>56</v>
      </c>
      <c r="E323" s="1">
        <v>20</v>
      </c>
      <c r="F323" s="1">
        <v>20</v>
      </c>
      <c r="G323" s="1" t="s">
        <v>27</v>
      </c>
      <c r="H323" s="1" t="s">
        <v>28</v>
      </c>
      <c r="I323" s="3">
        <v>41169.591493055559</v>
      </c>
      <c r="J323" s="1">
        <v>1</v>
      </c>
      <c r="K323" s="1">
        <v>0</v>
      </c>
    </row>
    <row r="324" spans="1:11" ht="21.75" customHeight="1">
      <c r="A324" s="2">
        <v>7</v>
      </c>
      <c r="B324" s="1" t="s">
        <v>38</v>
      </c>
      <c r="C324" s="1">
        <v>2012</v>
      </c>
      <c r="D324" s="1" t="s">
        <v>56</v>
      </c>
      <c r="E324" s="1">
        <v>1</v>
      </c>
      <c r="F324" s="1">
        <v>1</v>
      </c>
      <c r="G324" s="1" t="s">
        <v>27</v>
      </c>
      <c r="H324" s="1" t="s">
        <v>28</v>
      </c>
      <c r="I324" s="3">
        <v>41164.592152777775</v>
      </c>
      <c r="J324" s="1">
        <v>1</v>
      </c>
      <c r="K324" s="1">
        <v>0</v>
      </c>
    </row>
    <row r="325" spans="1:11" ht="21.75" customHeight="1">
      <c r="A325" s="2">
        <v>10</v>
      </c>
      <c r="B325" s="1" t="s">
        <v>38</v>
      </c>
      <c r="C325" s="1">
        <v>2012</v>
      </c>
      <c r="D325" s="1" t="s">
        <v>56</v>
      </c>
      <c r="E325" s="1">
        <v>5</v>
      </c>
      <c r="F325" s="1">
        <v>5</v>
      </c>
      <c r="G325" s="1" t="s">
        <v>27</v>
      </c>
      <c r="H325" s="1" t="s">
        <v>28</v>
      </c>
      <c r="I325" s="3">
        <v>41162.721932870372</v>
      </c>
      <c r="J325" s="1">
        <v>1</v>
      </c>
      <c r="K325" s="1">
        <v>0</v>
      </c>
    </row>
    <row r="326" spans="1:11" ht="21.75" customHeight="1">
      <c r="A326" s="2">
        <v>10</v>
      </c>
      <c r="B326" s="1" t="s">
        <v>38</v>
      </c>
      <c r="C326" s="1">
        <v>2012</v>
      </c>
      <c r="D326" s="1" t="s">
        <v>56</v>
      </c>
      <c r="E326" s="1">
        <v>1</v>
      </c>
      <c r="F326" s="1">
        <v>1</v>
      </c>
      <c r="G326" s="1" t="s">
        <v>27</v>
      </c>
      <c r="H326" s="1" t="s">
        <v>28</v>
      </c>
      <c r="I326" s="3">
        <v>41162.719594907408</v>
      </c>
      <c r="J326" s="1">
        <v>1</v>
      </c>
      <c r="K326" s="1">
        <v>0</v>
      </c>
    </row>
    <row r="327" spans="1:11" ht="21.75" customHeight="1">
      <c r="A327" s="2">
        <v>19</v>
      </c>
      <c r="B327" s="1" t="s">
        <v>38</v>
      </c>
      <c r="C327" s="1">
        <v>2012</v>
      </c>
      <c r="D327" s="1" t="s">
        <v>56</v>
      </c>
      <c r="E327" s="1">
        <v>1</v>
      </c>
      <c r="F327" s="1">
        <v>1</v>
      </c>
      <c r="G327" s="1" t="s">
        <v>27</v>
      </c>
      <c r="H327" s="1" t="s">
        <v>28</v>
      </c>
      <c r="I327" s="3">
        <v>41171.433692129627</v>
      </c>
      <c r="J327" s="1">
        <v>1</v>
      </c>
      <c r="K327" s="1">
        <v>0</v>
      </c>
    </row>
    <row r="328" spans="1:11" ht="21.75" customHeight="1">
      <c r="A328" s="2">
        <v>3</v>
      </c>
      <c r="B328" s="1" t="s">
        <v>43</v>
      </c>
      <c r="C328" s="1">
        <v>2012</v>
      </c>
      <c r="D328" s="1" t="s">
        <v>56</v>
      </c>
      <c r="E328" s="1">
        <v>4</v>
      </c>
      <c r="F328" s="1">
        <v>4</v>
      </c>
      <c r="G328" s="1" t="s">
        <v>27</v>
      </c>
      <c r="H328" s="1" t="s">
        <v>28</v>
      </c>
      <c r="I328" s="3">
        <v>41186.346331018518</v>
      </c>
      <c r="J328" s="1">
        <v>1</v>
      </c>
      <c r="K328" s="1">
        <v>0</v>
      </c>
    </row>
    <row r="329" spans="1:11" ht="21.75" customHeight="1">
      <c r="A329" s="2">
        <v>25</v>
      </c>
      <c r="B329" s="1" t="s">
        <v>44</v>
      </c>
      <c r="C329" s="1">
        <v>2012</v>
      </c>
      <c r="D329" s="1" t="s">
        <v>56</v>
      </c>
      <c r="E329" s="1">
        <v>1</v>
      </c>
      <c r="F329" s="1">
        <v>1</v>
      </c>
      <c r="G329" s="1" t="s">
        <v>27</v>
      </c>
      <c r="H329" s="1" t="s">
        <v>28</v>
      </c>
      <c r="I329" s="3">
        <v>41239.467187499999</v>
      </c>
      <c r="J329" s="1">
        <v>1</v>
      </c>
      <c r="K329" s="1">
        <v>0</v>
      </c>
    </row>
    <row r="330" spans="1:11" ht="21.75" customHeight="1">
      <c r="A330" s="2">
        <v>30</v>
      </c>
      <c r="B330" s="1" t="s">
        <v>44</v>
      </c>
      <c r="C330" s="1">
        <v>2012</v>
      </c>
      <c r="D330" s="1" t="s">
        <v>56</v>
      </c>
      <c r="E330" s="1">
        <v>1</v>
      </c>
      <c r="F330" s="1">
        <v>1</v>
      </c>
      <c r="G330" s="1" t="s">
        <v>27</v>
      </c>
      <c r="H330" s="1" t="s">
        <v>28</v>
      </c>
      <c r="I330" s="3">
        <v>41243.468287037038</v>
      </c>
      <c r="J330" s="1">
        <v>1</v>
      </c>
      <c r="K330" s="1">
        <v>0</v>
      </c>
    </row>
    <row r="331" spans="1:11" ht="21.75" customHeight="1">
      <c r="A331" s="2">
        <v>28</v>
      </c>
      <c r="B331" s="1" t="s">
        <v>45</v>
      </c>
      <c r="C331" s="1">
        <v>2012</v>
      </c>
      <c r="D331" s="1" t="s">
        <v>56</v>
      </c>
      <c r="E331" s="1">
        <v>20</v>
      </c>
      <c r="F331" s="1">
        <v>20</v>
      </c>
      <c r="G331" s="1" t="s">
        <v>27</v>
      </c>
      <c r="H331" s="1" t="s">
        <v>28</v>
      </c>
      <c r="I331" s="3">
        <v>41271.577893518515</v>
      </c>
      <c r="J331" s="1">
        <v>1</v>
      </c>
      <c r="K331" s="1">
        <v>0</v>
      </c>
    </row>
    <row r="332" spans="1:11" ht="21.75" customHeight="1">
      <c r="A332" s="2">
        <v>10</v>
      </c>
      <c r="B332" s="1" t="s">
        <v>25</v>
      </c>
      <c r="C332" s="1">
        <v>2012</v>
      </c>
      <c r="D332" s="1" t="s">
        <v>56</v>
      </c>
      <c r="E332" s="1">
        <v>3</v>
      </c>
      <c r="F332" s="1">
        <v>3</v>
      </c>
      <c r="G332" s="1" t="s">
        <v>27</v>
      </c>
      <c r="H332" s="1" t="s">
        <v>33</v>
      </c>
      <c r="I332" s="3">
        <v>40917.638599537036</v>
      </c>
      <c r="J332" s="1">
        <v>1</v>
      </c>
      <c r="K332" s="1">
        <v>0</v>
      </c>
    </row>
    <row r="333" spans="1:11" ht="21.75" customHeight="1">
      <c r="A333" s="2">
        <v>19</v>
      </c>
      <c r="B333" s="1" t="s">
        <v>25</v>
      </c>
      <c r="C333" s="1">
        <v>2012</v>
      </c>
      <c r="D333" s="1" t="s">
        <v>56</v>
      </c>
      <c r="E333" s="1">
        <v>2</v>
      </c>
      <c r="F333" s="1">
        <v>2</v>
      </c>
      <c r="G333" s="1" t="s">
        <v>27</v>
      </c>
      <c r="H333" s="1" t="s">
        <v>33</v>
      </c>
      <c r="I333" s="3">
        <v>40927.491967592592</v>
      </c>
      <c r="J333" s="1">
        <v>1</v>
      </c>
      <c r="K333" s="1">
        <v>0</v>
      </c>
    </row>
    <row r="334" spans="1:11" ht="21.75" customHeight="1">
      <c r="A334" s="2">
        <v>16</v>
      </c>
      <c r="B334" s="1" t="s">
        <v>41</v>
      </c>
      <c r="C334" s="1">
        <v>2012</v>
      </c>
      <c r="D334" s="1" t="s">
        <v>56</v>
      </c>
      <c r="E334" s="1">
        <v>2</v>
      </c>
      <c r="F334" s="1">
        <v>2</v>
      </c>
      <c r="G334" s="1" t="s">
        <v>27</v>
      </c>
      <c r="H334" s="1" t="s">
        <v>28</v>
      </c>
      <c r="I334" s="3">
        <v>40955.485879629632</v>
      </c>
      <c r="J334" s="1">
        <v>1</v>
      </c>
      <c r="K334" s="1">
        <v>0</v>
      </c>
    </row>
    <row r="335" spans="1:11" ht="21.75" customHeight="1">
      <c r="A335" s="2">
        <v>16</v>
      </c>
      <c r="B335" s="1" t="s">
        <v>41</v>
      </c>
      <c r="C335" s="1">
        <v>2012</v>
      </c>
      <c r="D335" s="1" t="s">
        <v>56</v>
      </c>
      <c r="E335" s="1">
        <v>4</v>
      </c>
      <c r="F335" s="1">
        <v>4</v>
      </c>
      <c r="G335" s="1" t="s">
        <v>27</v>
      </c>
      <c r="H335" s="1" t="s">
        <v>28</v>
      </c>
      <c r="I335" s="3">
        <v>40954.668993055559</v>
      </c>
      <c r="J335" s="1">
        <v>1</v>
      </c>
      <c r="K335" s="1">
        <v>0</v>
      </c>
    </row>
    <row r="336" spans="1:11" ht="21.75" customHeight="1">
      <c r="A336" s="2">
        <v>17</v>
      </c>
      <c r="B336" s="1" t="s">
        <v>41</v>
      </c>
      <c r="C336" s="1">
        <v>2012</v>
      </c>
      <c r="D336" s="1" t="s">
        <v>56</v>
      </c>
      <c r="E336" s="1">
        <v>1</v>
      </c>
      <c r="F336" s="1">
        <v>1</v>
      </c>
      <c r="G336" s="1" t="s">
        <v>27</v>
      </c>
      <c r="H336" s="1" t="s">
        <v>28</v>
      </c>
      <c r="I336" s="3">
        <v>40956.358715277776</v>
      </c>
      <c r="J336" s="1">
        <v>1</v>
      </c>
      <c r="K336" s="1">
        <v>0</v>
      </c>
    </row>
    <row r="337" spans="1:11" ht="21.75" customHeight="1">
      <c r="A337" s="2">
        <v>21</v>
      </c>
      <c r="B337" s="1" t="s">
        <v>41</v>
      </c>
      <c r="C337" s="1">
        <v>2012</v>
      </c>
      <c r="D337" s="1" t="s">
        <v>56</v>
      </c>
      <c r="E337" s="1">
        <v>1</v>
      </c>
      <c r="F337" s="1">
        <v>1</v>
      </c>
      <c r="G337" s="1" t="s">
        <v>27</v>
      </c>
      <c r="H337" s="1" t="s">
        <v>33</v>
      </c>
      <c r="I337" s="3">
        <v>40961.62537037037</v>
      </c>
      <c r="J337" s="1">
        <v>1</v>
      </c>
      <c r="K337" s="1">
        <v>0</v>
      </c>
    </row>
    <row r="338" spans="1:11" ht="21.75" customHeight="1">
      <c r="A338" s="2">
        <v>25</v>
      </c>
      <c r="B338" s="1" t="s">
        <v>41</v>
      </c>
      <c r="C338" s="1">
        <v>2012</v>
      </c>
      <c r="D338" s="1" t="s">
        <v>56</v>
      </c>
      <c r="E338" s="1">
        <v>2</v>
      </c>
      <c r="F338" s="1">
        <v>2</v>
      </c>
      <c r="G338" s="1" t="s">
        <v>27</v>
      </c>
      <c r="H338" s="1" t="s">
        <v>28</v>
      </c>
      <c r="I338" s="3">
        <v>40963.633599537039</v>
      </c>
      <c r="J338" s="1">
        <v>1</v>
      </c>
      <c r="K338" s="1">
        <v>0</v>
      </c>
    </row>
    <row r="339" spans="1:11" ht="21.75" customHeight="1">
      <c r="A339" s="2">
        <v>20</v>
      </c>
      <c r="B339" s="1" t="s">
        <v>31</v>
      </c>
      <c r="C339" s="1">
        <v>2012</v>
      </c>
      <c r="D339" s="1" t="s">
        <v>56</v>
      </c>
      <c r="E339" s="1">
        <v>4</v>
      </c>
      <c r="F339" s="1">
        <v>4</v>
      </c>
      <c r="G339" s="1" t="s">
        <v>27</v>
      </c>
      <c r="H339" s="1" t="s">
        <v>28</v>
      </c>
      <c r="I339" s="3">
        <v>40988.634513888886</v>
      </c>
      <c r="J339" s="1">
        <v>1</v>
      </c>
      <c r="K339" s="1">
        <v>0</v>
      </c>
    </row>
    <row r="340" spans="1:11" ht="21.75" customHeight="1">
      <c r="A340" s="2">
        <v>24</v>
      </c>
      <c r="B340" s="1" t="s">
        <v>31</v>
      </c>
      <c r="C340" s="1">
        <v>2012</v>
      </c>
      <c r="D340" s="1" t="s">
        <v>56</v>
      </c>
      <c r="E340" s="1">
        <v>4</v>
      </c>
      <c r="F340" s="1">
        <v>4</v>
      </c>
      <c r="G340" s="1" t="s">
        <v>27</v>
      </c>
      <c r="H340" s="1" t="s">
        <v>33</v>
      </c>
      <c r="I340" s="3">
        <v>40992.425474537034</v>
      </c>
      <c r="J340" s="1">
        <v>1</v>
      </c>
      <c r="K340" s="1">
        <v>0</v>
      </c>
    </row>
    <row r="341" spans="1:11" ht="21.75" customHeight="1">
      <c r="A341" s="2">
        <v>26</v>
      </c>
      <c r="B341" s="1" t="s">
        <v>32</v>
      </c>
      <c r="C341" s="1">
        <v>2012</v>
      </c>
      <c r="D341" s="1" t="s">
        <v>56</v>
      </c>
      <c r="E341" s="1">
        <v>5</v>
      </c>
      <c r="F341" s="1">
        <v>5</v>
      </c>
      <c r="G341" s="1" t="s">
        <v>27</v>
      </c>
      <c r="H341" s="1" t="s">
        <v>28</v>
      </c>
      <c r="I341" s="3">
        <v>41025.424224537041</v>
      </c>
      <c r="J341" s="1">
        <v>1</v>
      </c>
      <c r="K341" s="1">
        <v>0</v>
      </c>
    </row>
    <row r="342" spans="1:11" ht="21.75" customHeight="1">
      <c r="A342" s="2">
        <v>9</v>
      </c>
      <c r="B342" s="1" t="s">
        <v>34</v>
      </c>
      <c r="C342" s="1">
        <v>2012</v>
      </c>
      <c r="D342" s="1" t="s">
        <v>56</v>
      </c>
      <c r="E342" s="1">
        <v>3</v>
      </c>
      <c r="F342" s="1">
        <v>3</v>
      </c>
      <c r="G342" s="1" t="s">
        <v>27</v>
      </c>
      <c r="H342" s="1" t="s">
        <v>28</v>
      </c>
      <c r="I342" s="3">
        <v>41038.3203125</v>
      </c>
      <c r="J342" s="1">
        <v>1</v>
      </c>
      <c r="K342" s="1">
        <v>0</v>
      </c>
    </row>
    <row r="343" spans="1:11" ht="21.75" customHeight="1">
      <c r="A343" s="2">
        <v>9</v>
      </c>
      <c r="B343" s="1" t="s">
        <v>34</v>
      </c>
      <c r="C343" s="1">
        <v>2012</v>
      </c>
      <c r="D343" s="1" t="s">
        <v>56</v>
      </c>
      <c r="E343" s="1">
        <v>3</v>
      </c>
      <c r="F343" s="1">
        <v>3</v>
      </c>
      <c r="G343" s="1" t="s">
        <v>27</v>
      </c>
      <c r="H343" s="1" t="s">
        <v>28</v>
      </c>
      <c r="I343" s="3">
        <v>41038.350590277776</v>
      </c>
      <c r="J343" s="1">
        <v>1</v>
      </c>
      <c r="K343" s="1">
        <v>0</v>
      </c>
    </row>
    <row r="344" spans="1:11" ht="21.75" customHeight="1">
      <c r="A344" s="2">
        <v>9</v>
      </c>
      <c r="B344" s="1" t="s">
        <v>34</v>
      </c>
      <c r="C344" s="1">
        <v>2012</v>
      </c>
      <c r="D344" s="1" t="s">
        <v>56</v>
      </c>
      <c r="E344" s="1">
        <v>1</v>
      </c>
      <c r="F344" s="1">
        <v>1</v>
      </c>
      <c r="G344" s="1" t="s">
        <v>27</v>
      </c>
      <c r="H344" s="1" t="s">
        <v>28</v>
      </c>
      <c r="I344" s="3">
        <v>41038.334490740737</v>
      </c>
      <c r="J344" s="1">
        <v>1</v>
      </c>
      <c r="K344" s="1">
        <v>0</v>
      </c>
    </row>
    <row r="345" spans="1:11" ht="21.75" customHeight="1">
      <c r="A345" s="2">
        <v>26</v>
      </c>
      <c r="B345" s="1" t="s">
        <v>34</v>
      </c>
      <c r="C345" s="1">
        <v>2012</v>
      </c>
      <c r="D345" s="1" t="s">
        <v>56</v>
      </c>
      <c r="E345" s="1">
        <v>2</v>
      </c>
      <c r="F345" s="1">
        <v>2</v>
      </c>
      <c r="G345" s="1" t="s">
        <v>27</v>
      </c>
      <c r="H345" s="1" t="s">
        <v>33</v>
      </c>
      <c r="I345" s="3">
        <v>41055.413171296299</v>
      </c>
      <c r="J345" s="1">
        <v>1</v>
      </c>
      <c r="K345" s="1">
        <v>0</v>
      </c>
    </row>
    <row r="346" spans="1:11" ht="21.75" customHeight="1">
      <c r="A346" s="2">
        <v>15</v>
      </c>
      <c r="B346" s="1" t="s">
        <v>35</v>
      </c>
      <c r="C346" s="1">
        <v>2012</v>
      </c>
      <c r="D346" s="1" t="s">
        <v>56</v>
      </c>
      <c r="E346" s="1">
        <v>20</v>
      </c>
      <c r="F346" s="1">
        <v>20</v>
      </c>
      <c r="G346" s="1" t="s">
        <v>27</v>
      </c>
      <c r="H346" s="1" t="s">
        <v>28</v>
      </c>
      <c r="I346" s="3">
        <v>41078.605543981481</v>
      </c>
      <c r="J346" s="1">
        <v>1</v>
      </c>
      <c r="K346" s="1">
        <v>0</v>
      </c>
    </row>
    <row r="347" spans="1:11" ht="21.75" customHeight="1">
      <c r="A347" s="2">
        <v>22</v>
      </c>
      <c r="B347" s="1" t="s">
        <v>35</v>
      </c>
      <c r="C347" s="1">
        <v>2012</v>
      </c>
      <c r="D347" s="1" t="s">
        <v>56</v>
      </c>
      <c r="E347" s="1">
        <v>2</v>
      </c>
      <c r="F347" s="1">
        <v>2</v>
      </c>
      <c r="G347" s="1" t="s">
        <v>27</v>
      </c>
      <c r="H347" s="1" t="s">
        <v>33</v>
      </c>
      <c r="I347" s="3">
        <v>41082.437430555554</v>
      </c>
      <c r="J347" s="1">
        <v>1</v>
      </c>
      <c r="K347" s="1">
        <v>0</v>
      </c>
    </row>
    <row r="348" spans="1:11" ht="21.75" customHeight="1">
      <c r="A348" s="2">
        <v>27</v>
      </c>
      <c r="B348" s="1" t="s">
        <v>36</v>
      </c>
      <c r="C348" s="1">
        <v>2012</v>
      </c>
      <c r="D348" s="1" t="s">
        <v>56</v>
      </c>
      <c r="E348" s="1">
        <v>3</v>
      </c>
      <c r="F348" s="1">
        <v>3</v>
      </c>
      <c r="G348" s="1" t="s">
        <v>27</v>
      </c>
      <c r="H348" s="1" t="s">
        <v>28</v>
      </c>
      <c r="I348" s="3">
        <v>41117.609456018516</v>
      </c>
      <c r="J348" s="1">
        <v>1</v>
      </c>
      <c r="K348" s="1">
        <v>0</v>
      </c>
    </row>
    <row r="349" spans="1:11" ht="21.75" customHeight="1">
      <c r="A349" s="2">
        <v>28</v>
      </c>
      <c r="B349" s="1" t="s">
        <v>36</v>
      </c>
      <c r="C349" s="1">
        <v>2012</v>
      </c>
      <c r="D349" s="1" t="s">
        <v>56</v>
      </c>
      <c r="E349" s="1">
        <v>1</v>
      </c>
      <c r="F349" s="1">
        <v>1</v>
      </c>
      <c r="G349" s="1" t="s">
        <v>27</v>
      </c>
      <c r="H349" s="1" t="s">
        <v>28</v>
      </c>
      <c r="I349" s="3">
        <v>41127.425902777781</v>
      </c>
      <c r="J349" s="1">
        <v>1</v>
      </c>
      <c r="K349" s="1">
        <v>0</v>
      </c>
    </row>
    <row r="350" spans="1:11" ht="21.75" customHeight="1">
      <c r="A350" s="2">
        <v>7</v>
      </c>
      <c r="B350" s="1" t="s">
        <v>37</v>
      </c>
      <c r="C350" s="1">
        <v>2012</v>
      </c>
      <c r="D350" s="1" t="s">
        <v>56</v>
      </c>
      <c r="E350" s="1">
        <v>1</v>
      </c>
      <c r="F350" s="1">
        <v>1</v>
      </c>
      <c r="G350" s="1" t="s">
        <v>27</v>
      </c>
      <c r="H350" s="1" t="s">
        <v>28</v>
      </c>
      <c r="I350" s="3">
        <v>41130.422118055554</v>
      </c>
      <c r="J350" s="1">
        <v>1</v>
      </c>
      <c r="K350" s="1">
        <v>0</v>
      </c>
    </row>
    <row r="351" spans="1:11" ht="21.75" customHeight="1">
      <c r="A351" s="2">
        <v>8</v>
      </c>
      <c r="B351" s="1" t="s">
        <v>37</v>
      </c>
      <c r="C351" s="1">
        <v>2012</v>
      </c>
      <c r="D351" s="1" t="s">
        <v>56</v>
      </c>
      <c r="E351" s="1">
        <v>2</v>
      </c>
      <c r="F351" s="1">
        <v>2</v>
      </c>
      <c r="G351" s="1" t="s">
        <v>27</v>
      </c>
      <c r="H351" s="1" t="s">
        <v>28</v>
      </c>
      <c r="I351" s="3">
        <v>41129.600902777776</v>
      </c>
      <c r="J351" s="1">
        <v>1</v>
      </c>
      <c r="K351" s="1">
        <v>0</v>
      </c>
    </row>
    <row r="352" spans="1:11" ht="21.75" customHeight="1">
      <c r="A352" s="2">
        <v>23</v>
      </c>
      <c r="B352" s="1" t="s">
        <v>37</v>
      </c>
      <c r="C352" s="1">
        <v>2012</v>
      </c>
      <c r="D352" s="1" t="s">
        <v>56</v>
      </c>
      <c r="E352" s="1">
        <v>1</v>
      </c>
      <c r="F352" s="1">
        <v>1</v>
      </c>
      <c r="G352" s="1" t="s">
        <v>27</v>
      </c>
      <c r="H352" s="1" t="s">
        <v>33</v>
      </c>
      <c r="I352" s="3">
        <v>41148.441701388889</v>
      </c>
      <c r="J352" s="1">
        <v>1</v>
      </c>
      <c r="K352" s="1">
        <v>0</v>
      </c>
    </row>
    <row r="353" spans="1:11" ht="21.75" customHeight="1">
      <c r="A353" s="2">
        <v>24</v>
      </c>
      <c r="B353" s="1" t="s">
        <v>37</v>
      </c>
      <c r="C353" s="1">
        <v>2012</v>
      </c>
      <c r="D353" s="1" t="s">
        <v>56</v>
      </c>
      <c r="E353" s="1">
        <v>1</v>
      </c>
      <c r="F353" s="1">
        <v>1</v>
      </c>
      <c r="G353" s="1" t="s">
        <v>27</v>
      </c>
      <c r="H353" s="1" t="s">
        <v>28</v>
      </c>
      <c r="I353" s="3">
        <v>41148.448819444442</v>
      </c>
      <c r="J353" s="1">
        <v>1</v>
      </c>
      <c r="K353" s="1">
        <v>0</v>
      </c>
    </row>
    <row r="354" spans="1:11" ht="21.75" customHeight="1">
      <c r="A354" s="2">
        <v>26</v>
      </c>
      <c r="B354" s="1" t="s">
        <v>37</v>
      </c>
      <c r="C354" s="1">
        <v>2012</v>
      </c>
      <c r="D354" s="1" t="s">
        <v>56</v>
      </c>
      <c r="E354" s="1">
        <v>3</v>
      </c>
      <c r="F354" s="1">
        <v>3</v>
      </c>
      <c r="G354" s="1" t="s">
        <v>27</v>
      </c>
      <c r="H354" s="1" t="s">
        <v>28</v>
      </c>
      <c r="I354" s="3">
        <v>41148.426516203705</v>
      </c>
      <c r="J354" s="1">
        <v>1</v>
      </c>
      <c r="K354" s="1">
        <v>0</v>
      </c>
    </row>
    <row r="355" spans="1:11" ht="21.75" customHeight="1">
      <c r="A355" s="2">
        <v>28</v>
      </c>
      <c r="B355" s="1" t="s">
        <v>38</v>
      </c>
      <c r="C355" s="1">
        <v>2012</v>
      </c>
      <c r="D355" s="1" t="s">
        <v>56</v>
      </c>
      <c r="E355" s="1">
        <v>3</v>
      </c>
      <c r="F355" s="1">
        <v>3</v>
      </c>
      <c r="G355" s="1" t="s">
        <v>27</v>
      </c>
      <c r="H355" s="1" t="s">
        <v>28</v>
      </c>
      <c r="I355" s="3">
        <v>41179.711030092592</v>
      </c>
      <c r="J355" s="1">
        <v>1</v>
      </c>
      <c r="K355" s="1">
        <v>0</v>
      </c>
    </row>
    <row r="356" spans="1:11" ht="21.75" customHeight="1">
      <c r="A356" s="2">
        <v>30</v>
      </c>
      <c r="B356" s="1" t="s">
        <v>38</v>
      </c>
      <c r="C356" s="1">
        <v>2012</v>
      </c>
      <c r="D356" s="1" t="s">
        <v>56</v>
      </c>
      <c r="E356" s="1">
        <v>2</v>
      </c>
      <c r="F356" s="1">
        <v>2</v>
      </c>
      <c r="G356" s="1" t="s">
        <v>27</v>
      </c>
      <c r="H356" s="1" t="s">
        <v>33</v>
      </c>
      <c r="I356" s="3">
        <v>41185.638518518521</v>
      </c>
      <c r="J356" s="1">
        <v>1</v>
      </c>
      <c r="K356" s="1">
        <v>0</v>
      </c>
    </row>
    <row r="357" spans="1:11" ht="21.75" customHeight="1">
      <c r="A357" s="2">
        <v>5</v>
      </c>
      <c r="B357" s="1" t="s">
        <v>43</v>
      </c>
      <c r="C357" s="1">
        <v>2012</v>
      </c>
      <c r="D357" s="1" t="s">
        <v>56</v>
      </c>
      <c r="E357" s="1">
        <v>1</v>
      </c>
      <c r="F357" s="1">
        <v>1</v>
      </c>
      <c r="G357" s="1" t="s">
        <v>27</v>
      </c>
      <c r="H357" s="1" t="s">
        <v>28</v>
      </c>
      <c r="I357" s="3">
        <v>41187.667905092596</v>
      </c>
      <c r="J357" s="1">
        <v>1</v>
      </c>
      <c r="K357" s="1">
        <v>0</v>
      </c>
    </row>
    <row r="358" spans="1:11" ht="21.75" customHeight="1">
      <c r="A358" s="2">
        <v>11</v>
      </c>
      <c r="B358" s="1" t="s">
        <v>43</v>
      </c>
      <c r="C358" s="1">
        <v>2012</v>
      </c>
      <c r="D358" s="1" t="s">
        <v>56</v>
      </c>
      <c r="E358" s="1">
        <v>2</v>
      </c>
      <c r="F358" s="1">
        <v>2</v>
      </c>
      <c r="G358" s="1" t="s">
        <v>27</v>
      </c>
      <c r="H358" s="1" t="s">
        <v>28</v>
      </c>
      <c r="I358" s="3">
        <v>41193.391319444447</v>
      </c>
      <c r="J358" s="1">
        <v>1</v>
      </c>
      <c r="K358" s="1">
        <v>0</v>
      </c>
    </row>
    <row r="359" spans="1:11" ht="21.75" customHeight="1">
      <c r="A359" s="2">
        <v>18</v>
      </c>
      <c r="B359" s="1" t="s">
        <v>45</v>
      </c>
      <c r="C359" s="1">
        <v>2012</v>
      </c>
      <c r="D359" s="1" t="s">
        <v>56</v>
      </c>
      <c r="E359" s="1">
        <v>2</v>
      </c>
      <c r="F359" s="1">
        <v>2</v>
      </c>
      <c r="G359" s="1" t="s">
        <v>27</v>
      </c>
      <c r="H359" s="1" t="s">
        <v>28</v>
      </c>
      <c r="I359" s="3">
        <v>41261.787789351853</v>
      </c>
      <c r="J359" s="1">
        <v>1</v>
      </c>
      <c r="K359" s="1">
        <v>0</v>
      </c>
    </row>
    <row r="360" spans="1:11" ht="21.75" customHeight="1">
      <c r="A360" s="2">
        <v>21</v>
      </c>
      <c r="B360" s="1" t="s">
        <v>45</v>
      </c>
      <c r="C360" s="1">
        <v>2012</v>
      </c>
      <c r="D360" s="1" t="s">
        <v>56</v>
      </c>
      <c r="E360" s="1">
        <v>2</v>
      </c>
      <c r="F360" s="1">
        <v>2</v>
      </c>
      <c r="G360" s="1" t="s">
        <v>27</v>
      </c>
      <c r="H360" s="1" t="s">
        <v>28</v>
      </c>
      <c r="I360" s="3">
        <v>41264.664270833331</v>
      </c>
      <c r="J360" s="1">
        <v>1</v>
      </c>
      <c r="K360" s="1">
        <v>0</v>
      </c>
    </row>
    <row r="361" spans="1:11" ht="21.75" customHeight="1">
      <c r="A361" s="2">
        <v>28</v>
      </c>
      <c r="B361" s="1" t="s">
        <v>45</v>
      </c>
      <c r="C361" s="1">
        <v>2012</v>
      </c>
      <c r="D361" s="1" t="s">
        <v>56</v>
      </c>
      <c r="E361" s="1">
        <v>3</v>
      </c>
      <c r="F361" s="1">
        <v>3</v>
      </c>
      <c r="G361" s="1" t="s">
        <v>27</v>
      </c>
      <c r="H361" s="1" t="s">
        <v>28</v>
      </c>
      <c r="I361" s="3">
        <v>41271.61005787037</v>
      </c>
      <c r="J361" s="1">
        <v>1</v>
      </c>
      <c r="K361" s="1">
        <v>0</v>
      </c>
    </row>
    <row r="362" spans="1:11" ht="21.75" customHeight="1">
      <c r="A362" s="2">
        <v>8</v>
      </c>
      <c r="B362" s="1" t="s">
        <v>25</v>
      </c>
      <c r="C362" s="1">
        <v>2012</v>
      </c>
      <c r="D362" s="1" t="s">
        <v>56</v>
      </c>
      <c r="E362" s="1">
        <v>4</v>
      </c>
      <c r="F362" s="1">
        <v>4</v>
      </c>
      <c r="G362" s="1" t="s">
        <v>27</v>
      </c>
      <c r="H362" s="1" t="s">
        <v>28</v>
      </c>
      <c r="I362" s="3">
        <v>40917.592060185183</v>
      </c>
      <c r="J362" s="1">
        <v>1</v>
      </c>
      <c r="K362" s="1">
        <v>0</v>
      </c>
    </row>
    <row r="363" spans="1:11" ht="21.75" customHeight="1">
      <c r="A363" s="2">
        <v>2</v>
      </c>
      <c r="B363" s="1" t="s">
        <v>41</v>
      </c>
      <c r="C363" s="1">
        <v>2012</v>
      </c>
      <c r="D363" s="1" t="s">
        <v>56</v>
      </c>
      <c r="E363" s="1">
        <v>2</v>
      </c>
      <c r="F363" s="1">
        <v>2</v>
      </c>
      <c r="G363" s="1" t="s">
        <v>27</v>
      </c>
      <c r="H363" s="1" t="s">
        <v>28</v>
      </c>
      <c r="I363" s="3">
        <v>40940.608101851853</v>
      </c>
      <c r="J363" s="1">
        <v>1</v>
      </c>
      <c r="K363" s="1">
        <v>0</v>
      </c>
    </row>
    <row r="364" spans="1:11" ht="21.75" customHeight="1">
      <c r="A364" s="2">
        <v>32</v>
      </c>
      <c r="B364" s="1" t="s">
        <v>31</v>
      </c>
      <c r="C364" s="1">
        <v>2012</v>
      </c>
      <c r="D364" s="1" t="s">
        <v>56</v>
      </c>
      <c r="E364" s="1">
        <v>1</v>
      </c>
      <c r="F364" s="1">
        <v>1</v>
      </c>
      <c r="G364" s="1" t="s">
        <v>27</v>
      </c>
      <c r="H364" s="1" t="s">
        <v>28</v>
      </c>
      <c r="I364" s="3">
        <v>41001.423414351855</v>
      </c>
      <c r="J364" s="1">
        <v>1</v>
      </c>
      <c r="K364" s="1">
        <v>0</v>
      </c>
    </row>
    <row r="365" spans="1:11" ht="21.75" customHeight="1">
      <c r="A365" s="2">
        <v>3</v>
      </c>
      <c r="B365" s="1" t="s">
        <v>32</v>
      </c>
      <c r="C365" s="1">
        <v>2012</v>
      </c>
      <c r="D365" s="1" t="s">
        <v>56</v>
      </c>
      <c r="E365" s="1">
        <v>5</v>
      </c>
      <c r="F365" s="1">
        <v>5</v>
      </c>
      <c r="G365" s="1" t="s">
        <v>27</v>
      </c>
      <c r="H365" s="1" t="s">
        <v>33</v>
      </c>
      <c r="I365" s="3">
        <v>41001.593425925923</v>
      </c>
      <c r="J365" s="1">
        <v>1</v>
      </c>
      <c r="K365" s="1">
        <v>0</v>
      </c>
    </row>
    <row r="366" spans="1:11" ht="21.75" customHeight="1">
      <c r="A366" s="2">
        <v>3</v>
      </c>
      <c r="B366" s="1" t="s">
        <v>34</v>
      </c>
      <c r="C366" s="1">
        <v>2012</v>
      </c>
      <c r="D366" s="1" t="s">
        <v>56</v>
      </c>
      <c r="E366" s="1">
        <v>2</v>
      </c>
      <c r="F366" s="1">
        <v>2</v>
      </c>
      <c r="G366" s="1" t="s">
        <v>27</v>
      </c>
      <c r="H366" s="1" t="s">
        <v>28</v>
      </c>
      <c r="I366" s="3">
        <v>41031.610173611109</v>
      </c>
      <c r="J366" s="1">
        <v>1</v>
      </c>
      <c r="K366" s="1">
        <v>0</v>
      </c>
    </row>
    <row r="367" spans="1:11" ht="21.75" customHeight="1">
      <c r="A367" s="2">
        <v>27</v>
      </c>
      <c r="B367" s="1" t="s">
        <v>34</v>
      </c>
      <c r="C367" s="1">
        <v>2012</v>
      </c>
      <c r="D367" s="1" t="s">
        <v>56</v>
      </c>
      <c r="E367" s="1">
        <v>2</v>
      </c>
      <c r="F367" s="1">
        <v>2</v>
      </c>
      <c r="G367" s="1" t="s">
        <v>27</v>
      </c>
      <c r="H367" s="1" t="s">
        <v>28</v>
      </c>
      <c r="I367" s="3">
        <v>41055.423541666663</v>
      </c>
      <c r="J367" s="1">
        <v>1</v>
      </c>
      <c r="K367" s="1">
        <v>0</v>
      </c>
    </row>
    <row r="368" spans="1:11" ht="21.75" customHeight="1">
      <c r="A368" s="2">
        <v>12</v>
      </c>
      <c r="B368" s="1" t="s">
        <v>35</v>
      </c>
      <c r="C368" s="1">
        <v>2012</v>
      </c>
      <c r="D368" s="1" t="s">
        <v>56</v>
      </c>
      <c r="E368" s="1">
        <v>2</v>
      </c>
      <c r="F368" s="1">
        <v>2</v>
      </c>
      <c r="G368" s="1" t="s">
        <v>27</v>
      </c>
      <c r="H368" s="1" t="s">
        <v>28</v>
      </c>
      <c r="I368" s="3">
        <v>41072.461134259262</v>
      </c>
      <c r="J368" s="1">
        <v>1</v>
      </c>
      <c r="K368" s="1">
        <v>0</v>
      </c>
    </row>
    <row r="369" spans="1:11" ht="21.75" customHeight="1">
      <c r="A369" s="2">
        <v>24</v>
      </c>
      <c r="B369" s="1" t="s">
        <v>37</v>
      </c>
      <c r="C369" s="1">
        <v>2012</v>
      </c>
      <c r="D369" s="1" t="s">
        <v>56</v>
      </c>
      <c r="E369" s="1">
        <v>1</v>
      </c>
      <c r="F369" s="1">
        <v>1</v>
      </c>
      <c r="G369" s="1" t="s">
        <v>27</v>
      </c>
      <c r="H369" s="1" t="s">
        <v>28</v>
      </c>
      <c r="I369" s="3">
        <v>41148.455717592595</v>
      </c>
      <c r="J369" s="1">
        <v>1</v>
      </c>
      <c r="K369" s="1">
        <v>0</v>
      </c>
    </row>
    <row r="370" spans="1:11" ht="21.75" customHeight="1">
      <c r="A370" s="2">
        <v>24</v>
      </c>
      <c r="B370" s="1" t="s">
        <v>37</v>
      </c>
      <c r="C370" s="1">
        <v>2012</v>
      </c>
      <c r="D370" s="1" t="s">
        <v>56</v>
      </c>
      <c r="E370" s="1">
        <v>1</v>
      </c>
      <c r="F370" s="1">
        <v>1</v>
      </c>
      <c r="G370" s="1" t="s">
        <v>27</v>
      </c>
      <c r="H370" s="1" t="s">
        <v>28</v>
      </c>
      <c r="I370" s="3">
        <v>41148.451319444444</v>
      </c>
      <c r="J370" s="1">
        <v>1</v>
      </c>
      <c r="K370" s="1">
        <v>0</v>
      </c>
    </row>
    <row r="371" spans="1:11" ht="21.75" customHeight="1">
      <c r="A371" s="2">
        <v>4</v>
      </c>
      <c r="B371" s="1" t="s">
        <v>43</v>
      </c>
      <c r="C371" s="1">
        <v>2012</v>
      </c>
      <c r="D371" s="1" t="s">
        <v>56</v>
      </c>
      <c r="E371" s="1">
        <v>2</v>
      </c>
      <c r="F371" s="1">
        <v>2</v>
      </c>
      <c r="G371" s="1" t="s">
        <v>27</v>
      </c>
      <c r="H371" s="1" t="s">
        <v>28</v>
      </c>
      <c r="I371" s="3">
        <v>41191.615428240744</v>
      </c>
      <c r="J371" s="1">
        <v>1</v>
      </c>
      <c r="K371" s="1">
        <v>0</v>
      </c>
    </row>
    <row r="372" spans="1:11" ht="21.75" customHeight="1">
      <c r="A372" s="2">
        <v>28</v>
      </c>
      <c r="B372" s="1" t="s">
        <v>45</v>
      </c>
      <c r="C372" s="1">
        <v>2012</v>
      </c>
      <c r="D372" s="1" t="s">
        <v>56</v>
      </c>
      <c r="E372" s="1">
        <v>10</v>
      </c>
      <c r="F372" s="1">
        <v>10</v>
      </c>
      <c r="G372" s="1" t="s">
        <v>27</v>
      </c>
      <c r="H372" s="1" t="s">
        <v>28</v>
      </c>
      <c r="I372" s="3">
        <v>41271.596886574072</v>
      </c>
      <c r="J372" s="1">
        <v>1</v>
      </c>
      <c r="K372" s="1">
        <v>0</v>
      </c>
    </row>
    <row r="373" spans="1:11" ht="21.75" customHeight="1">
      <c r="A373" s="2">
        <v>7</v>
      </c>
      <c r="B373" s="1" t="s">
        <v>25</v>
      </c>
      <c r="C373" s="1">
        <v>2012</v>
      </c>
      <c r="D373" s="1" t="s">
        <v>56</v>
      </c>
      <c r="E373" s="1">
        <v>5</v>
      </c>
      <c r="F373" s="1">
        <v>5</v>
      </c>
      <c r="G373" s="1" t="s">
        <v>27</v>
      </c>
      <c r="H373" s="1" t="s">
        <v>33</v>
      </c>
      <c r="I373" s="3">
        <v>40914.63784722222</v>
      </c>
      <c r="J373" s="1">
        <v>1</v>
      </c>
      <c r="K373" s="1">
        <v>0</v>
      </c>
    </row>
    <row r="374" spans="1:11" ht="21.75" customHeight="1">
      <c r="A374" s="2">
        <v>3</v>
      </c>
      <c r="B374" s="1" t="s">
        <v>34</v>
      </c>
      <c r="C374" s="1">
        <v>2012</v>
      </c>
      <c r="D374" s="1" t="s">
        <v>56</v>
      </c>
      <c r="E374" s="1">
        <v>1</v>
      </c>
      <c r="F374" s="1">
        <v>1</v>
      </c>
      <c r="G374" s="1" t="s">
        <v>27</v>
      </c>
      <c r="H374" s="1" t="s">
        <v>28</v>
      </c>
      <c r="I374" s="3">
        <v>41033.583055555559</v>
      </c>
      <c r="J374" s="1">
        <v>1</v>
      </c>
      <c r="K374" s="1">
        <v>0</v>
      </c>
    </row>
    <row r="375" spans="1:11" ht="21.75" customHeight="1">
      <c r="A375" s="2">
        <v>23</v>
      </c>
      <c r="B375" s="1" t="s">
        <v>37</v>
      </c>
      <c r="C375" s="1">
        <v>2012</v>
      </c>
      <c r="D375" s="1" t="s">
        <v>56</v>
      </c>
      <c r="E375" s="1">
        <v>1</v>
      </c>
      <c r="F375" s="1">
        <v>1</v>
      </c>
      <c r="G375" s="1" t="s">
        <v>27</v>
      </c>
      <c r="H375" s="1" t="s">
        <v>33</v>
      </c>
      <c r="I375" s="3">
        <v>41148.446689814817</v>
      </c>
      <c r="J375" s="1">
        <v>1</v>
      </c>
      <c r="K375" s="1">
        <v>0</v>
      </c>
    </row>
    <row r="376" spans="1:11" ht="21.75" customHeight="1">
      <c r="A376" s="2">
        <v>24</v>
      </c>
      <c r="B376" s="1" t="s">
        <v>37</v>
      </c>
      <c r="C376" s="1">
        <v>2012</v>
      </c>
      <c r="D376" s="1" t="s">
        <v>56</v>
      </c>
      <c r="E376" s="1">
        <v>1</v>
      </c>
      <c r="F376" s="1">
        <v>1</v>
      </c>
      <c r="G376" s="1" t="s">
        <v>27</v>
      </c>
      <c r="H376" s="1" t="s">
        <v>33</v>
      </c>
      <c r="I376" s="3">
        <v>41148.454884259256</v>
      </c>
      <c r="J376" s="1">
        <v>1</v>
      </c>
      <c r="K376" s="1">
        <v>0</v>
      </c>
    </row>
    <row r="377" spans="1:11" ht="21.75" customHeight="1">
      <c r="A377" s="2">
        <v>5</v>
      </c>
      <c r="B377" s="1" t="s">
        <v>38</v>
      </c>
      <c r="C377" s="1">
        <v>2012</v>
      </c>
      <c r="D377" s="1" t="s">
        <v>56</v>
      </c>
      <c r="E377" s="1">
        <v>5</v>
      </c>
      <c r="F377" s="1">
        <v>5</v>
      </c>
      <c r="G377" s="1" t="s">
        <v>27</v>
      </c>
      <c r="H377" s="1" t="s">
        <v>28</v>
      </c>
      <c r="I377" s="3">
        <v>41157.676481481481</v>
      </c>
      <c r="J377" s="1">
        <v>1</v>
      </c>
      <c r="K377" s="1">
        <v>0</v>
      </c>
    </row>
    <row r="378" spans="1:11" ht="21.75" customHeight="1">
      <c r="A378" s="2">
        <v>19</v>
      </c>
      <c r="B378" s="1" t="s">
        <v>38</v>
      </c>
      <c r="C378" s="1">
        <v>2012</v>
      </c>
      <c r="D378" s="1" t="s">
        <v>56</v>
      </c>
      <c r="E378" s="1">
        <v>4</v>
      </c>
      <c r="F378" s="1">
        <v>4</v>
      </c>
      <c r="G378" s="1" t="s">
        <v>27</v>
      </c>
      <c r="H378" s="1" t="s">
        <v>33</v>
      </c>
      <c r="I378" s="3">
        <v>41170.691458333335</v>
      </c>
      <c r="J378" s="1">
        <v>1</v>
      </c>
      <c r="K378" s="1">
        <v>0</v>
      </c>
    </row>
    <row r="379" spans="1:11" ht="21.75" customHeight="1">
      <c r="A379" s="2">
        <v>3</v>
      </c>
      <c r="B379" s="1" t="s">
        <v>43</v>
      </c>
      <c r="C379" s="1">
        <v>2012</v>
      </c>
      <c r="D379" s="1" t="s">
        <v>56</v>
      </c>
      <c r="E379" s="1">
        <v>2</v>
      </c>
      <c r="F379" s="1">
        <v>2</v>
      </c>
      <c r="G379" s="1" t="s">
        <v>27</v>
      </c>
      <c r="H379" s="1" t="s">
        <v>28</v>
      </c>
      <c r="I379" s="3">
        <v>41186.325138888889</v>
      </c>
      <c r="J379" s="1">
        <v>1</v>
      </c>
      <c r="K379" s="1">
        <v>0</v>
      </c>
    </row>
    <row r="380" spans="1:11" ht="21.75" customHeight="1">
      <c r="A380" s="2">
        <v>6</v>
      </c>
      <c r="B380" s="1" t="s">
        <v>43</v>
      </c>
      <c r="C380" s="1">
        <v>2012</v>
      </c>
      <c r="D380" s="1" t="s">
        <v>56</v>
      </c>
      <c r="E380" s="1">
        <v>1</v>
      </c>
      <c r="F380" s="1">
        <v>1</v>
      </c>
      <c r="G380" s="1" t="s">
        <v>27</v>
      </c>
      <c r="H380" s="1" t="s">
        <v>28</v>
      </c>
      <c r="I380" s="3">
        <v>41187.50341435185</v>
      </c>
      <c r="J380" s="1">
        <v>1</v>
      </c>
      <c r="K380" s="1">
        <v>0</v>
      </c>
    </row>
    <row r="381" spans="1:11" ht="21.75" customHeight="1">
      <c r="A381" s="2">
        <v>18</v>
      </c>
      <c r="B381" s="1" t="s">
        <v>43</v>
      </c>
      <c r="C381" s="1">
        <v>2012</v>
      </c>
      <c r="D381" s="1" t="s">
        <v>56</v>
      </c>
      <c r="E381" s="1">
        <v>3</v>
      </c>
      <c r="F381" s="1">
        <v>3</v>
      </c>
      <c r="G381" s="1" t="s">
        <v>27</v>
      </c>
      <c r="H381" s="1" t="s">
        <v>28</v>
      </c>
      <c r="I381" s="3">
        <v>41204.65792824074</v>
      </c>
      <c r="J381" s="1">
        <v>1</v>
      </c>
      <c r="K381" s="1">
        <v>0</v>
      </c>
    </row>
    <row r="382" spans="1:11" ht="21.75" customHeight="1">
      <c r="A382" s="2">
        <v>19</v>
      </c>
      <c r="B382" s="1" t="s">
        <v>43</v>
      </c>
      <c r="C382" s="1">
        <v>2012</v>
      </c>
      <c r="D382" s="1" t="s">
        <v>56</v>
      </c>
      <c r="E382" s="1">
        <v>2</v>
      </c>
      <c r="F382" s="1">
        <v>2</v>
      </c>
      <c r="G382" s="1" t="s">
        <v>27</v>
      </c>
      <c r="H382" s="1" t="s">
        <v>33</v>
      </c>
      <c r="I382" s="3">
        <v>41206.404907407406</v>
      </c>
      <c r="J382" s="1">
        <v>1</v>
      </c>
      <c r="K382" s="1">
        <v>0</v>
      </c>
    </row>
    <row r="383" spans="1:11" ht="21.75" customHeight="1">
      <c r="A383" s="2">
        <v>17</v>
      </c>
      <c r="B383" s="1" t="s">
        <v>44</v>
      </c>
      <c r="C383" s="1">
        <v>2012</v>
      </c>
      <c r="D383" s="1" t="s">
        <v>56</v>
      </c>
      <c r="E383" s="1">
        <v>6</v>
      </c>
      <c r="F383" s="1">
        <v>6</v>
      </c>
      <c r="G383" s="1" t="s">
        <v>27</v>
      </c>
      <c r="H383" s="1" t="s">
        <v>28</v>
      </c>
      <c r="I383" s="3">
        <v>41232.669432870367</v>
      </c>
      <c r="J383" s="1">
        <v>1</v>
      </c>
      <c r="K383" s="1">
        <v>0</v>
      </c>
    </row>
    <row r="384" spans="1:11" ht="21.75" customHeight="1">
      <c r="A384" s="2">
        <v>10</v>
      </c>
      <c r="B384" s="1" t="s">
        <v>32</v>
      </c>
      <c r="C384" s="1">
        <v>2012</v>
      </c>
      <c r="D384" s="1" t="s">
        <v>56</v>
      </c>
      <c r="E384" s="1">
        <v>2</v>
      </c>
      <c r="F384" s="1">
        <v>2</v>
      </c>
      <c r="G384" s="1" t="s">
        <v>27</v>
      </c>
      <c r="H384" s="1" t="s">
        <v>33</v>
      </c>
      <c r="I384" s="3">
        <v>41010.662349537037</v>
      </c>
      <c r="J384" s="1">
        <v>1</v>
      </c>
      <c r="K384" s="1">
        <v>0</v>
      </c>
    </row>
    <row r="385" spans="1:11" ht="21.75" customHeight="1">
      <c r="A385" s="2">
        <v>29</v>
      </c>
      <c r="B385" s="1" t="s">
        <v>38</v>
      </c>
      <c r="C385" s="1">
        <v>2012</v>
      </c>
      <c r="D385" s="1" t="s">
        <v>56</v>
      </c>
      <c r="E385" s="1">
        <v>5</v>
      </c>
      <c r="F385" s="1">
        <v>5</v>
      </c>
      <c r="G385" s="1" t="s">
        <v>27</v>
      </c>
      <c r="H385" s="1" t="s">
        <v>28</v>
      </c>
      <c r="I385" s="3">
        <v>41183.582858796297</v>
      </c>
      <c r="J385" s="1">
        <v>1</v>
      </c>
      <c r="K385" s="1">
        <v>0</v>
      </c>
    </row>
    <row r="386" spans="1:11" ht="21.75" customHeight="1">
      <c r="A386" s="2">
        <v>18</v>
      </c>
      <c r="B386" s="1" t="s">
        <v>43</v>
      </c>
      <c r="C386" s="1">
        <v>2012</v>
      </c>
      <c r="D386" s="1" t="s">
        <v>56</v>
      </c>
      <c r="E386" s="1">
        <v>2</v>
      </c>
      <c r="F386" s="1">
        <v>2</v>
      </c>
      <c r="G386" s="1" t="s">
        <v>27</v>
      </c>
      <c r="H386" s="1" t="s">
        <v>28</v>
      </c>
      <c r="I386" s="3">
        <v>41200.691261574073</v>
      </c>
      <c r="J386" s="1">
        <v>1</v>
      </c>
      <c r="K386" s="1">
        <v>0</v>
      </c>
    </row>
    <row r="387" spans="1:11" ht="21.75" customHeight="1">
      <c r="A387" s="2">
        <v>10</v>
      </c>
      <c r="B387" s="1" t="s">
        <v>25</v>
      </c>
      <c r="C387" s="1">
        <v>2012</v>
      </c>
      <c r="D387" s="1" t="s">
        <v>56</v>
      </c>
      <c r="E387" s="1">
        <v>1</v>
      </c>
      <c r="F387" s="1">
        <v>1</v>
      </c>
      <c r="G387" s="1" t="s">
        <v>27</v>
      </c>
      <c r="H387" s="1" t="s">
        <v>28</v>
      </c>
      <c r="I387" s="3">
        <v>40806.710578703707</v>
      </c>
      <c r="J387" s="1">
        <v>1</v>
      </c>
      <c r="K387" s="1">
        <v>0</v>
      </c>
    </row>
    <row r="388" spans="1:11" ht="21.75" customHeight="1">
      <c r="A388" s="2">
        <v>28</v>
      </c>
      <c r="B388" s="1" t="s">
        <v>45</v>
      </c>
      <c r="C388" s="1">
        <v>2012</v>
      </c>
      <c r="D388" s="1" t="s">
        <v>56</v>
      </c>
      <c r="E388" s="1">
        <v>1</v>
      </c>
      <c r="F388" s="1">
        <v>1</v>
      </c>
      <c r="G388" s="1" t="s">
        <v>27</v>
      </c>
      <c r="H388" s="1" t="s">
        <v>28</v>
      </c>
      <c r="I388" s="3">
        <v>41271.596886574072</v>
      </c>
      <c r="J388" s="1">
        <v>0</v>
      </c>
      <c r="K388" s="1">
        <v>2</v>
      </c>
    </row>
    <row r="389" spans="1:11" ht="21.75" customHeight="1">
      <c r="A389" s="2">
        <v>28</v>
      </c>
      <c r="B389" s="1" t="s">
        <v>45</v>
      </c>
      <c r="C389" s="1">
        <v>2012</v>
      </c>
      <c r="D389" s="1" t="s">
        <v>56</v>
      </c>
      <c r="E389" s="1">
        <v>9</v>
      </c>
      <c r="F389" s="1">
        <v>9</v>
      </c>
      <c r="G389" s="1" t="s">
        <v>27</v>
      </c>
      <c r="H389" s="1" t="s">
        <v>28</v>
      </c>
      <c r="I389" s="3">
        <v>41271.596886574072</v>
      </c>
      <c r="J389" s="1">
        <v>0</v>
      </c>
      <c r="K389" s="1">
        <v>2</v>
      </c>
    </row>
    <row r="390" spans="1:11" ht="21.75" customHeight="1">
      <c r="A390" s="2">
        <v>24</v>
      </c>
      <c r="B390" s="1" t="s">
        <v>25</v>
      </c>
      <c r="C390" s="1">
        <v>2012</v>
      </c>
      <c r="D390" s="1" t="s">
        <v>57</v>
      </c>
      <c r="E390" s="1">
        <v>2</v>
      </c>
      <c r="F390" s="1">
        <v>2</v>
      </c>
      <c r="G390" s="1" t="s">
        <v>27</v>
      </c>
      <c r="H390" s="1" t="s">
        <v>33</v>
      </c>
      <c r="I390" s="3">
        <v>40931.795914351853</v>
      </c>
      <c r="J390" s="1">
        <v>1</v>
      </c>
      <c r="K390" s="1">
        <v>0</v>
      </c>
    </row>
    <row r="391" spans="1:11" ht="21.75" customHeight="1">
      <c r="A391" s="2">
        <v>27</v>
      </c>
      <c r="B391" s="1" t="s">
        <v>25</v>
      </c>
      <c r="C391" s="1">
        <v>2012</v>
      </c>
      <c r="D391" s="1" t="s">
        <v>57</v>
      </c>
      <c r="E391" s="1">
        <v>2</v>
      </c>
      <c r="F391" s="1">
        <v>2</v>
      </c>
      <c r="G391" s="1" t="s">
        <v>27</v>
      </c>
      <c r="H391" s="1" t="s">
        <v>33</v>
      </c>
      <c r="I391" s="3">
        <v>40934.59983796296</v>
      </c>
      <c r="J391" s="1">
        <v>1</v>
      </c>
      <c r="K391" s="1">
        <v>0</v>
      </c>
    </row>
    <row r="392" spans="1:11" ht="21.75" customHeight="1">
      <c r="A392" s="2">
        <v>3</v>
      </c>
      <c r="B392" s="1" t="s">
        <v>41</v>
      </c>
      <c r="C392" s="1">
        <v>2012</v>
      </c>
      <c r="D392" s="1" t="s">
        <v>57</v>
      </c>
      <c r="E392" s="1">
        <v>1</v>
      </c>
      <c r="F392" s="1">
        <v>1</v>
      </c>
      <c r="G392" s="1" t="s">
        <v>27</v>
      </c>
      <c r="H392" s="1" t="s">
        <v>28</v>
      </c>
      <c r="I392" s="3">
        <v>40941.681018518517</v>
      </c>
      <c r="J392" s="1">
        <v>1</v>
      </c>
      <c r="K392" s="1">
        <v>0</v>
      </c>
    </row>
    <row r="393" spans="1:11" ht="21.75" customHeight="1">
      <c r="A393" s="2">
        <v>15</v>
      </c>
      <c r="B393" s="1" t="s">
        <v>41</v>
      </c>
      <c r="C393" s="1">
        <v>2012</v>
      </c>
      <c r="D393" s="1" t="s">
        <v>57</v>
      </c>
      <c r="E393" s="1">
        <v>3</v>
      </c>
      <c r="F393" s="1">
        <v>3</v>
      </c>
      <c r="G393" s="1" t="s">
        <v>27</v>
      </c>
      <c r="H393" s="1" t="s">
        <v>33</v>
      </c>
      <c r="I393" s="3">
        <v>40953.615486111114</v>
      </c>
      <c r="J393" s="1">
        <v>1</v>
      </c>
      <c r="K393" s="1">
        <v>0</v>
      </c>
    </row>
    <row r="394" spans="1:11" ht="21.75" customHeight="1">
      <c r="A394" s="2">
        <v>16</v>
      </c>
      <c r="B394" s="1" t="s">
        <v>41</v>
      </c>
      <c r="C394" s="1">
        <v>2012</v>
      </c>
      <c r="D394" s="1" t="s">
        <v>57</v>
      </c>
      <c r="E394" s="1">
        <v>4</v>
      </c>
      <c r="F394" s="1">
        <v>4</v>
      </c>
      <c r="G394" s="1" t="s">
        <v>27</v>
      </c>
      <c r="H394" s="1" t="s">
        <v>28</v>
      </c>
      <c r="I394" s="3">
        <v>40954.669236111113</v>
      </c>
      <c r="J394" s="1">
        <v>1</v>
      </c>
      <c r="K394" s="1">
        <v>0</v>
      </c>
    </row>
    <row r="395" spans="1:11" ht="21.75" customHeight="1">
      <c r="A395" s="2">
        <v>18</v>
      </c>
      <c r="B395" s="1" t="s">
        <v>41</v>
      </c>
      <c r="C395" s="1">
        <v>2012</v>
      </c>
      <c r="D395" s="1" t="s">
        <v>57</v>
      </c>
      <c r="E395" s="1">
        <v>1</v>
      </c>
      <c r="F395" s="1">
        <v>1</v>
      </c>
      <c r="G395" s="1" t="s">
        <v>27</v>
      </c>
      <c r="H395" s="1" t="s">
        <v>28</v>
      </c>
      <c r="I395" s="3">
        <v>40956.648414351854</v>
      </c>
      <c r="J395" s="1">
        <v>1</v>
      </c>
      <c r="K395" s="1">
        <v>0</v>
      </c>
    </row>
    <row r="396" spans="1:11" ht="21.75" customHeight="1">
      <c r="A396" s="2">
        <v>19</v>
      </c>
      <c r="B396" s="1" t="s">
        <v>41</v>
      </c>
      <c r="C396" s="1">
        <v>2012</v>
      </c>
      <c r="D396" s="1" t="s">
        <v>57</v>
      </c>
      <c r="E396" s="1">
        <v>1</v>
      </c>
      <c r="F396" s="1">
        <v>1</v>
      </c>
      <c r="G396" s="1" t="s">
        <v>27</v>
      </c>
      <c r="H396" s="1" t="s">
        <v>28</v>
      </c>
      <c r="I396" s="3">
        <v>40961.613368055558</v>
      </c>
      <c r="J396" s="1">
        <v>1</v>
      </c>
      <c r="K396" s="1">
        <v>0</v>
      </c>
    </row>
    <row r="397" spans="1:11" ht="21.75" customHeight="1">
      <c r="A397" s="2">
        <v>25</v>
      </c>
      <c r="B397" s="1" t="s">
        <v>41</v>
      </c>
      <c r="C397" s="1">
        <v>2012</v>
      </c>
      <c r="D397" s="1" t="s">
        <v>57</v>
      </c>
      <c r="E397" s="1">
        <v>1</v>
      </c>
      <c r="F397" s="1">
        <v>1</v>
      </c>
      <c r="G397" s="1" t="s">
        <v>27</v>
      </c>
      <c r="H397" s="1" t="s">
        <v>33</v>
      </c>
      <c r="I397" s="3">
        <v>40963.639351851853</v>
      </c>
      <c r="J397" s="1">
        <v>1</v>
      </c>
      <c r="K397" s="1">
        <v>0</v>
      </c>
    </row>
    <row r="398" spans="1:11" ht="21.75" customHeight="1">
      <c r="A398" s="2">
        <v>28</v>
      </c>
      <c r="B398" s="1" t="s">
        <v>41</v>
      </c>
      <c r="C398" s="1">
        <v>2012</v>
      </c>
      <c r="D398" s="1" t="s">
        <v>57</v>
      </c>
      <c r="E398" s="1">
        <v>2</v>
      </c>
      <c r="F398" s="1">
        <v>2</v>
      </c>
      <c r="G398" s="1" t="s">
        <v>27</v>
      </c>
      <c r="H398" s="1" t="s">
        <v>28</v>
      </c>
      <c r="I398" s="3">
        <v>40966.484247685185</v>
      </c>
      <c r="J398" s="1">
        <v>1</v>
      </c>
      <c r="K398" s="1">
        <v>0</v>
      </c>
    </row>
    <row r="399" spans="1:11" ht="21.75" customHeight="1">
      <c r="A399" s="2">
        <v>28</v>
      </c>
      <c r="B399" s="1" t="s">
        <v>41</v>
      </c>
      <c r="C399" s="1">
        <v>2012</v>
      </c>
      <c r="D399" s="1" t="s">
        <v>57</v>
      </c>
      <c r="E399" s="1">
        <v>2</v>
      </c>
      <c r="F399" s="1">
        <v>2</v>
      </c>
      <c r="G399" s="1" t="s">
        <v>27</v>
      </c>
      <c r="H399" s="1" t="s">
        <v>28</v>
      </c>
      <c r="I399" s="3">
        <v>40966.488923611112</v>
      </c>
      <c r="J399" s="1">
        <v>1</v>
      </c>
      <c r="K399" s="1">
        <v>0</v>
      </c>
    </row>
    <row r="400" spans="1:11" ht="21.75" customHeight="1">
      <c r="A400" s="2">
        <v>4</v>
      </c>
      <c r="B400" s="1" t="s">
        <v>31</v>
      </c>
      <c r="C400" s="1">
        <v>2012</v>
      </c>
      <c r="D400" s="1" t="s">
        <v>57</v>
      </c>
      <c r="E400" s="1">
        <v>1</v>
      </c>
      <c r="F400" s="1">
        <v>1</v>
      </c>
      <c r="G400" s="1" t="s">
        <v>27</v>
      </c>
      <c r="H400" s="1" t="s">
        <v>28</v>
      </c>
      <c r="I400" s="3">
        <v>40973.459814814814</v>
      </c>
      <c r="J400" s="1">
        <v>1</v>
      </c>
      <c r="K400" s="1">
        <v>0</v>
      </c>
    </row>
    <row r="401" spans="1:11" ht="21.75" customHeight="1">
      <c r="A401" s="2">
        <v>20</v>
      </c>
      <c r="B401" s="1" t="s">
        <v>31</v>
      </c>
      <c r="C401" s="1">
        <v>2012</v>
      </c>
      <c r="D401" s="1" t="s">
        <v>57</v>
      </c>
      <c r="E401" s="1">
        <v>3</v>
      </c>
      <c r="F401" s="1">
        <v>3</v>
      </c>
      <c r="G401" s="1" t="s">
        <v>27</v>
      </c>
      <c r="H401" s="1" t="s">
        <v>28</v>
      </c>
      <c r="I401" s="3">
        <v>40988.571238425924</v>
      </c>
      <c r="J401" s="1">
        <v>1</v>
      </c>
      <c r="K401" s="1">
        <v>0</v>
      </c>
    </row>
    <row r="402" spans="1:11" ht="21.75" customHeight="1">
      <c r="A402" s="2">
        <v>23</v>
      </c>
      <c r="B402" s="1" t="s">
        <v>31</v>
      </c>
      <c r="C402" s="1">
        <v>2012</v>
      </c>
      <c r="D402" s="1" t="s">
        <v>57</v>
      </c>
      <c r="E402" s="1">
        <v>2</v>
      </c>
      <c r="F402" s="1">
        <v>2</v>
      </c>
      <c r="G402" s="1" t="s">
        <v>27</v>
      </c>
      <c r="H402" s="1" t="s">
        <v>28</v>
      </c>
      <c r="I402" s="3">
        <v>40990.528402777774</v>
      </c>
      <c r="J402" s="1">
        <v>1</v>
      </c>
      <c r="K402" s="1">
        <v>0</v>
      </c>
    </row>
    <row r="403" spans="1:11" ht="21.75" customHeight="1">
      <c r="A403" s="2">
        <v>24</v>
      </c>
      <c r="B403" s="1" t="s">
        <v>31</v>
      </c>
      <c r="C403" s="1">
        <v>2012</v>
      </c>
      <c r="D403" s="1" t="s">
        <v>57</v>
      </c>
      <c r="E403" s="1">
        <v>1</v>
      </c>
      <c r="F403" s="1">
        <v>1</v>
      </c>
      <c r="G403" s="1" t="s">
        <v>27</v>
      </c>
      <c r="H403" s="1" t="s">
        <v>28</v>
      </c>
      <c r="I403" s="3">
        <v>40992.441840277781</v>
      </c>
      <c r="J403" s="1">
        <v>1</v>
      </c>
      <c r="K403" s="1">
        <v>0</v>
      </c>
    </row>
    <row r="404" spans="1:11" ht="21.75" customHeight="1">
      <c r="A404" s="2">
        <v>11</v>
      </c>
      <c r="B404" s="1" t="s">
        <v>32</v>
      </c>
      <c r="C404" s="1">
        <v>2012</v>
      </c>
      <c r="D404" s="1" t="s">
        <v>57</v>
      </c>
      <c r="E404" s="1">
        <v>1</v>
      </c>
      <c r="F404" s="1">
        <v>1</v>
      </c>
      <c r="G404" s="1" t="s">
        <v>27</v>
      </c>
      <c r="H404" s="1" t="s">
        <v>28</v>
      </c>
      <c r="I404" s="3">
        <v>41010.645613425928</v>
      </c>
      <c r="J404" s="1">
        <v>1</v>
      </c>
      <c r="K404" s="1">
        <v>0</v>
      </c>
    </row>
    <row r="405" spans="1:11" ht="21.75" customHeight="1">
      <c r="A405" s="2">
        <v>2</v>
      </c>
      <c r="B405" s="1" t="s">
        <v>32</v>
      </c>
      <c r="C405" s="1">
        <v>2012</v>
      </c>
      <c r="D405" s="1" t="s">
        <v>57</v>
      </c>
      <c r="E405" s="1">
        <v>1</v>
      </c>
      <c r="F405" s="1">
        <v>1</v>
      </c>
      <c r="G405" s="1" t="s">
        <v>27</v>
      </c>
      <c r="H405" s="1" t="s">
        <v>28</v>
      </c>
      <c r="I405" s="3">
        <v>41001.477442129632</v>
      </c>
      <c r="J405" s="1">
        <v>1</v>
      </c>
      <c r="K405" s="1">
        <v>0</v>
      </c>
    </row>
    <row r="406" spans="1:11" ht="21.75" customHeight="1">
      <c r="A406" s="2">
        <v>12</v>
      </c>
      <c r="B406" s="1" t="s">
        <v>32</v>
      </c>
      <c r="C406" s="1">
        <v>2012</v>
      </c>
      <c r="D406" s="1" t="s">
        <v>57</v>
      </c>
      <c r="E406" s="1">
        <v>1</v>
      </c>
      <c r="F406" s="1">
        <v>1</v>
      </c>
      <c r="G406" s="1" t="s">
        <v>27</v>
      </c>
      <c r="H406" s="1" t="s">
        <v>28</v>
      </c>
      <c r="I406" s="3">
        <v>41010.769583333335</v>
      </c>
      <c r="J406" s="1">
        <v>1</v>
      </c>
      <c r="K406" s="1">
        <v>0</v>
      </c>
    </row>
    <row r="407" spans="1:11" ht="21.75" customHeight="1">
      <c r="A407" s="2">
        <v>19</v>
      </c>
      <c r="B407" s="1" t="s">
        <v>32</v>
      </c>
      <c r="C407" s="1">
        <v>2012</v>
      </c>
      <c r="D407" s="1" t="s">
        <v>57</v>
      </c>
      <c r="E407" s="1">
        <v>1</v>
      </c>
      <c r="F407" s="1">
        <v>1</v>
      </c>
      <c r="G407" s="1" t="s">
        <v>27</v>
      </c>
      <c r="H407" s="1" t="s">
        <v>33</v>
      </c>
      <c r="I407" s="3">
        <v>41018.605127314811</v>
      </c>
      <c r="J407" s="1">
        <v>1</v>
      </c>
      <c r="K407" s="1">
        <v>0</v>
      </c>
    </row>
    <row r="408" spans="1:11" ht="21.75" customHeight="1">
      <c r="A408" s="2">
        <v>30</v>
      </c>
      <c r="B408" s="1" t="s">
        <v>32</v>
      </c>
      <c r="C408" s="1">
        <v>2012</v>
      </c>
      <c r="D408" s="1" t="s">
        <v>57</v>
      </c>
      <c r="E408" s="1">
        <v>1</v>
      </c>
      <c r="F408" s="1">
        <v>1</v>
      </c>
      <c r="G408" s="1" t="s">
        <v>27</v>
      </c>
      <c r="H408" s="1" t="s">
        <v>28</v>
      </c>
      <c r="I408" s="3">
        <v>41029.448993055557</v>
      </c>
      <c r="J408" s="1">
        <v>1</v>
      </c>
      <c r="K408" s="1">
        <v>0</v>
      </c>
    </row>
    <row r="409" spans="1:11" ht="21.75" customHeight="1">
      <c r="A409" s="2">
        <v>3</v>
      </c>
      <c r="B409" s="1" t="s">
        <v>34</v>
      </c>
      <c r="C409" s="1">
        <v>2012</v>
      </c>
      <c r="D409" s="1" t="s">
        <v>57</v>
      </c>
      <c r="E409" s="1">
        <v>1</v>
      </c>
      <c r="F409" s="1">
        <v>1</v>
      </c>
      <c r="G409" s="1" t="s">
        <v>27</v>
      </c>
      <c r="H409" s="1" t="s">
        <v>28</v>
      </c>
      <c r="I409" s="3">
        <v>41031.508553240739</v>
      </c>
      <c r="J409" s="1">
        <v>1</v>
      </c>
      <c r="K409" s="1">
        <v>0</v>
      </c>
    </row>
    <row r="410" spans="1:11" ht="21.75" customHeight="1">
      <c r="A410" s="2">
        <v>12</v>
      </c>
      <c r="B410" s="1" t="s">
        <v>34</v>
      </c>
      <c r="C410" s="1">
        <v>2012</v>
      </c>
      <c r="D410" s="1" t="s">
        <v>57</v>
      </c>
      <c r="E410" s="1">
        <v>2</v>
      </c>
      <c r="F410" s="1">
        <v>2</v>
      </c>
      <c r="G410" s="1" t="s">
        <v>27</v>
      </c>
      <c r="H410" s="1" t="s">
        <v>28</v>
      </c>
      <c r="I410" s="3">
        <v>41043.369884259257</v>
      </c>
      <c r="J410" s="1">
        <v>1</v>
      </c>
      <c r="K410" s="1">
        <v>0</v>
      </c>
    </row>
    <row r="411" spans="1:11" ht="21.75" customHeight="1">
      <c r="A411" s="2">
        <v>18</v>
      </c>
      <c r="B411" s="1" t="s">
        <v>34</v>
      </c>
      <c r="C411" s="1">
        <v>2012</v>
      </c>
      <c r="D411" s="1" t="s">
        <v>57</v>
      </c>
      <c r="E411" s="1">
        <v>2</v>
      </c>
      <c r="F411" s="1">
        <v>2</v>
      </c>
      <c r="G411" s="1" t="s">
        <v>27</v>
      </c>
      <c r="H411" s="1" t="s">
        <v>33</v>
      </c>
      <c r="I411" s="3">
        <v>41046.634351851855</v>
      </c>
      <c r="J411" s="1">
        <v>1</v>
      </c>
      <c r="K411" s="1">
        <v>0</v>
      </c>
    </row>
    <row r="412" spans="1:11" ht="21.75" customHeight="1">
      <c r="A412" s="2">
        <v>26</v>
      </c>
      <c r="B412" s="1" t="s">
        <v>34</v>
      </c>
      <c r="C412" s="1">
        <v>2012</v>
      </c>
      <c r="D412" s="1" t="s">
        <v>57</v>
      </c>
      <c r="E412" s="1">
        <v>1</v>
      </c>
      <c r="F412" s="1">
        <v>1</v>
      </c>
      <c r="G412" s="1" t="s">
        <v>27</v>
      </c>
      <c r="H412" s="1" t="s">
        <v>28</v>
      </c>
      <c r="I412" s="3">
        <v>41054.44290509259</v>
      </c>
      <c r="J412" s="1">
        <v>1</v>
      </c>
      <c r="K412" s="1">
        <v>0</v>
      </c>
    </row>
    <row r="413" spans="1:11" ht="21.75" customHeight="1">
      <c r="A413" s="2">
        <v>26</v>
      </c>
      <c r="B413" s="1" t="s">
        <v>34</v>
      </c>
      <c r="C413" s="1">
        <v>2012</v>
      </c>
      <c r="D413" s="1" t="s">
        <v>57</v>
      </c>
      <c r="E413" s="1">
        <v>1</v>
      </c>
      <c r="F413" s="1">
        <v>1</v>
      </c>
      <c r="G413" s="1" t="s">
        <v>27</v>
      </c>
      <c r="H413" s="1" t="s">
        <v>28</v>
      </c>
      <c r="I413" s="3">
        <v>41055.400682870371</v>
      </c>
      <c r="J413" s="1">
        <v>1</v>
      </c>
      <c r="K413" s="1">
        <v>0</v>
      </c>
    </row>
    <row r="414" spans="1:11" ht="21.75" customHeight="1">
      <c r="A414" s="2">
        <v>13</v>
      </c>
      <c r="B414" s="1" t="s">
        <v>35</v>
      </c>
      <c r="C414" s="1">
        <v>2012</v>
      </c>
      <c r="D414" s="1" t="s">
        <v>57</v>
      </c>
      <c r="E414" s="1">
        <v>1</v>
      </c>
      <c r="F414" s="1">
        <v>1</v>
      </c>
      <c r="G414" s="1" t="s">
        <v>27</v>
      </c>
      <c r="H414" s="1" t="s">
        <v>28</v>
      </c>
      <c r="I414" s="3">
        <v>41072.619675925926</v>
      </c>
      <c r="J414" s="1">
        <v>1</v>
      </c>
      <c r="K414" s="1">
        <v>0</v>
      </c>
    </row>
    <row r="415" spans="1:11" ht="21.75" customHeight="1">
      <c r="A415" s="2">
        <v>16</v>
      </c>
      <c r="B415" s="1" t="s">
        <v>35</v>
      </c>
      <c r="C415" s="1">
        <v>2012</v>
      </c>
      <c r="D415" s="1" t="s">
        <v>57</v>
      </c>
      <c r="E415" s="1">
        <v>2</v>
      </c>
      <c r="F415" s="1">
        <v>2</v>
      </c>
      <c r="G415" s="1" t="s">
        <v>27</v>
      </c>
      <c r="H415" s="1" t="s">
        <v>28</v>
      </c>
      <c r="I415" s="3">
        <v>41075.519953703704</v>
      </c>
      <c r="J415" s="1">
        <v>1</v>
      </c>
      <c r="K415" s="1">
        <v>0</v>
      </c>
    </row>
    <row r="416" spans="1:11" ht="21.75" customHeight="1">
      <c r="A416" s="2">
        <v>25</v>
      </c>
      <c r="B416" s="1" t="s">
        <v>36</v>
      </c>
      <c r="C416" s="1">
        <v>2012</v>
      </c>
      <c r="D416" s="1" t="s">
        <v>57</v>
      </c>
      <c r="E416" s="1">
        <v>3</v>
      </c>
      <c r="F416" s="1">
        <v>3</v>
      </c>
      <c r="G416" s="1" t="s">
        <v>27</v>
      </c>
      <c r="H416" s="1" t="s">
        <v>28</v>
      </c>
      <c r="I416" s="3">
        <v>41116.501643518517</v>
      </c>
      <c r="J416" s="1">
        <v>1</v>
      </c>
      <c r="K416" s="1">
        <v>0</v>
      </c>
    </row>
    <row r="417" spans="1:11" ht="21.75" customHeight="1">
      <c r="A417" s="2">
        <v>4</v>
      </c>
      <c r="B417" s="1" t="s">
        <v>36</v>
      </c>
      <c r="C417" s="1">
        <v>2012</v>
      </c>
      <c r="D417" s="1" t="s">
        <v>57</v>
      </c>
      <c r="E417" s="1">
        <v>1</v>
      </c>
      <c r="F417" s="1">
        <v>1</v>
      </c>
      <c r="G417" s="1" t="s">
        <v>27</v>
      </c>
      <c r="H417" s="1" t="s">
        <v>28</v>
      </c>
      <c r="I417" s="3">
        <v>41094.488125000003</v>
      </c>
      <c r="J417" s="1">
        <v>1</v>
      </c>
      <c r="K417" s="1">
        <v>0</v>
      </c>
    </row>
    <row r="418" spans="1:11" ht="21.75" customHeight="1">
      <c r="A418" s="2">
        <v>17</v>
      </c>
      <c r="B418" s="1" t="s">
        <v>36</v>
      </c>
      <c r="C418" s="1">
        <v>2012</v>
      </c>
      <c r="D418" s="1" t="s">
        <v>57</v>
      </c>
      <c r="E418" s="1">
        <v>1</v>
      </c>
      <c r="F418" s="1">
        <v>1</v>
      </c>
      <c r="G418" s="1" t="s">
        <v>27</v>
      </c>
      <c r="H418" s="1" t="s">
        <v>28</v>
      </c>
      <c r="I418" s="3">
        <v>41108.623483796298</v>
      </c>
      <c r="J418" s="1">
        <v>1</v>
      </c>
      <c r="K418" s="1">
        <v>0</v>
      </c>
    </row>
    <row r="419" spans="1:11" ht="21.75" customHeight="1">
      <c r="A419" s="2">
        <v>18</v>
      </c>
      <c r="B419" s="1" t="s">
        <v>36</v>
      </c>
      <c r="C419" s="1">
        <v>2012</v>
      </c>
      <c r="D419" s="1" t="s">
        <v>57</v>
      </c>
      <c r="E419" s="1">
        <v>1</v>
      </c>
      <c r="F419" s="1">
        <v>1</v>
      </c>
      <c r="G419" s="1" t="s">
        <v>27</v>
      </c>
      <c r="H419" s="1" t="s">
        <v>28</v>
      </c>
      <c r="I419" s="3">
        <v>41108.744004629632</v>
      </c>
      <c r="J419" s="1">
        <v>1</v>
      </c>
      <c r="K419" s="1">
        <v>0</v>
      </c>
    </row>
    <row r="420" spans="1:11" ht="21.75" customHeight="1">
      <c r="A420" s="2">
        <v>19</v>
      </c>
      <c r="B420" s="1" t="s">
        <v>36</v>
      </c>
      <c r="C420" s="1">
        <v>2012</v>
      </c>
      <c r="D420" s="1" t="s">
        <v>57</v>
      </c>
      <c r="E420" s="1">
        <v>1</v>
      </c>
      <c r="F420" s="1">
        <v>1</v>
      </c>
      <c r="G420" s="1" t="s">
        <v>27</v>
      </c>
      <c r="H420" s="1" t="s">
        <v>28</v>
      </c>
      <c r="I420" s="3">
        <v>41109.675034722219</v>
      </c>
      <c r="J420" s="1">
        <v>1</v>
      </c>
      <c r="K420" s="1">
        <v>0</v>
      </c>
    </row>
    <row r="421" spans="1:11" ht="21.75" customHeight="1">
      <c r="A421" s="2">
        <v>29</v>
      </c>
      <c r="B421" s="1" t="s">
        <v>36</v>
      </c>
      <c r="C421" s="1">
        <v>2012</v>
      </c>
      <c r="D421" s="1" t="s">
        <v>57</v>
      </c>
      <c r="E421" s="1">
        <v>2</v>
      </c>
      <c r="F421" s="1">
        <v>2</v>
      </c>
      <c r="G421" s="1" t="s">
        <v>27</v>
      </c>
      <c r="H421" s="1" t="s">
        <v>33</v>
      </c>
      <c r="I421" s="3">
        <v>41120.673981481479</v>
      </c>
      <c r="J421" s="1">
        <v>1</v>
      </c>
      <c r="K421" s="1">
        <v>0</v>
      </c>
    </row>
    <row r="422" spans="1:11" ht="21.75" customHeight="1">
      <c r="A422" s="2">
        <v>2</v>
      </c>
      <c r="B422" s="1" t="s">
        <v>37</v>
      </c>
      <c r="C422" s="1">
        <v>2012</v>
      </c>
      <c r="D422" s="1" t="s">
        <v>57</v>
      </c>
      <c r="E422" s="1">
        <v>1</v>
      </c>
      <c r="F422" s="1">
        <v>1</v>
      </c>
      <c r="G422" s="1" t="s">
        <v>27</v>
      </c>
      <c r="H422" s="1" t="s">
        <v>28</v>
      </c>
      <c r="I422" s="3">
        <v>41123.629675925928</v>
      </c>
      <c r="J422" s="1">
        <v>1</v>
      </c>
      <c r="K422" s="1">
        <v>0</v>
      </c>
    </row>
    <row r="423" spans="1:11" ht="21.75" customHeight="1">
      <c r="A423" s="2">
        <v>16</v>
      </c>
      <c r="B423" s="1" t="s">
        <v>37</v>
      </c>
      <c r="C423" s="1">
        <v>2012</v>
      </c>
      <c r="D423" s="1" t="s">
        <v>57</v>
      </c>
      <c r="E423" s="1">
        <v>2</v>
      </c>
      <c r="F423" s="1">
        <v>2</v>
      </c>
      <c r="G423" s="1" t="s">
        <v>27</v>
      </c>
      <c r="H423" s="1" t="s">
        <v>28</v>
      </c>
      <c r="I423" s="3">
        <v>41138.396979166668</v>
      </c>
      <c r="J423" s="1">
        <v>1</v>
      </c>
      <c r="K423" s="1">
        <v>0</v>
      </c>
    </row>
    <row r="424" spans="1:11" ht="21.75" customHeight="1">
      <c r="A424" s="2">
        <v>19</v>
      </c>
      <c r="B424" s="1" t="s">
        <v>37</v>
      </c>
      <c r="C424" s="1">
        <v>2012</v>
      </c>
      <c r="D424" s="1" t="s">
        <v>57</v>
      </c>
      <c r="E424" s="1">
        <v>3</v>
      </c>
      <c r="F424" s="1">
        <v>3</v>
      </c>
      <c r="G424" s="1" t="s">
        <v>27</v>
      </c>
      <c r="H424" s="1" t="s">
        <v>28</v>
      </c>
      <c r="I424" s="3">
        <v>41142.611921296295</v>
      </c>
      <c r="J424" s="1">
        <v>1</v>
      </c>
      <c r="K424" s="1">
        <v>0</v>
      </c>
    </row>
    <row r="425" spans="1:11" ht="21.75" customHeight="1">
      <c r="A425" s="2">
        <v>32</v>
      </c>
      <c r="B425" s="1" t="s">
        <v>37</v>
      </c>
      <c r="C425" s="1">
        <v>2012</v>
      </c>
      <c r="D425" s="1" t="s">
        <v>57</v>
      </c>
      <c r="E425" s="1">
        <v>2</v>
      </c>
      <c r="F425" s="1">
        <v>2</v>
      </c>
      <c r="G425" s="1" t="s">
        <v>27</v>
      </c>
      <c r="H425" s="1" t="s">
        <v>28</v>
      </c>
      <c r="I425" s="3">
        <v>41154.50986111111</v>
      </c>
      <c r="J425" s="1">
        <v>1</v>
      </c>
      <c r="K425" s="1">
        <v>0</v>
      </c>
    </row>
    <row r="426" spans="1:11" ht="21.75" customHeight="1">
      <c r="A426" s="2">
        <v>31</v>
      </c>
      <c r="B426" s="1" t="s">
        <v>38</v>
      </c>
      <c r="C426" s="1">
        <v>2012</v>
      </c>
      <c r="D426" s="1" t="s">
        <v>57</v>
      </c>
      <c r="E426" s="1">
        <v>4</v>
      </c>
      <c r="F426" s="1">
        <v>4</v>
      </c>
      <c r="G426" s="1" t="s">
        <v>27</v>
      </c>
      <c r="H426" s="1" t="s">
        <v>28</v>
      </c>
      <c r="I426" s="3">
        <v>41184.636423611111</v>
      </c>
      <c r="J426" s="1">
        <v>1</v>
      </c>
      <c r="K426" s="1">
        <v>0</v>
      </c>
    </row>
    <row r="427" spans="1:11" ht="21.75" customHeight="1">
      <c r="A427" s="2">
        <v>4</v>
      </c>
      <c r="B427" s="1" t="s">
        <v>38</v>
      </c>
      <c r="C427" s="1">
        <v>2012</v>
      </c>
      <c r="D427" s="1" t="s">
        <v>57</v>
      </c>
      <c r="E427" s="1">
        <v>1</v>
      </c>
      <c r="F427" s="1">
        <v>1</v>
      </c>
      <c r="G427" s="1" t="s">
        <v>27</v>
      </c>
      <c r="H427" s="1" t="s">
        <v>28</v>
      </c>
      <c r="I427" s="3">
        <v>41155.782685185186</v>
      </c>
      <c r="J427" s="1">
        <v>1</v>
      </c>
      <c r="K427" s="1">
        <v>0</v>
      </c>
    </row>
    <row r="428" spans="1:11" ht="21.75" customHeight="1">
      <c r="A428" s="2">
        <v>9</v>
      </c>
      <c r="B428" s="1" t="s">
        <v>38</v>
      </c>
      <c r="C428" s="1">
        <v>2012</v>
      </c>
      <c r="D428" s="1" t="s">
        <v>57</v>
      </c>
      <c r="E428" s="1">
        <v>1</v>
      </c>
      <c r="F428" s="1">
        <v>1</v>
      </c>
      <c r="G428" s="1" t="s">
        <v>27</v>
      </c>
      <c r="H428" s="1" t="s">
        <v>28</v>
      </c>
      <c r="I428" s="3">
        <v>41165.5778587963</v>
      </c>
      <c r="J428" s="1">
        <v>1</v>
      </c>
      <c r="K428" s="1">
        <v>0</v>
      </c>
    </row>
    <row r="429" spans="1:11" ht="21.75" customHeight="1">
      <c r="A429" s="2">
        <v>28</v>
      </c>
      <c r="B429" s="1" t="s">
        <v>38</v>
      </c>
      <c r="C429" s="1">
        <v>2012</v>
      </c>
      <c r="D429" s="1" t="s">
        <v>57</v>
      </c>
      <c r="E429" s="1">
        <v>5</v>
      </c>
      <c r="F429" s="1">
        <v>5</v>
      </c>
      <c r="G429" s="1" t="s">
        <v>27</v>
      </c>
      <c r="H429" s="1" t="s">
        <v>28</v>
      </c>
      <c r="I429" s="3">
        <v>41185.37871527778</v>
      </c>
      <c r="J429" s="1">
        <v>1</v>
      </c>
      <c r="K429" s="1">
        <v>0</v>
      </c>
    </row>
    <row r="430" spans="1:11" ht="21.75" customHeight="1">
      <c r="A430" s="2">
        <v>30</v>
      </c>
      <c r="B430" s="1" t="s">
        <v>38</v>
      </c>
      <c r="C430" s="1">
        <v>2012</v>
      </c>
      <c r="D430" s="1" t="s">
        <v>57</v>
      </c>
      <c r="E430" s="1">
        <v>2</v>
      </c>
      <c r="F430" s="1">
        <v>2</v>
      </c>
      <c r="G430" s="1" t="s">
        <v>27</v>
      </c>
      <c r="H430" s="1" t="s">
        <v>28</v>
      </c>
      <c r="I430" s="3">
        <v>41185.646550925929</v>
      </c>
      <c r="J430" s="1">
        <v>1</v>
      </c>
      <c r="K430" s="1">
        <v>0</v>
      </c>
    </row>
    <row r="431" spans="1:11" ht="21.75" customHeight="1">
      <c r="A431" s="2">
        <v>30</v>
      </c>
      <c r="B431" s="1" t="s">
        <v>38</v>
      </c>
      <c r="C431" s="1">
        <v>2012</v>
      </c>
      <c r="D431" s="1" t="s">
        <v>57</v>
      </c>
      <c r="E431" s="1">
        <v>4</v>
      </c>
      <c r="F431" s="1">
        <v>4</v>
      </c>
      <c r="G431" s="1" t="s">
        <v>27</v>
      </c>
      <c r="H431" s="1" t="s">
        <v>28</v>
      </c>
      <c r="I431" s="3">
        <v>41185.531400462962</v>
      </c>
      <c r="J431" s="1">
        <v>1</v>
      </c>
      <c r="K431" s="1">
        <v>0</v>
      </c>
    </row>
    <row r="432" spans="1:11" ht="21.75" customHeight="1">
      <c r="A432" s="2">
        <v>4</v>
      </c>
      <c r="B432" s="1" t="s">
        <v>43</v>
      </c>
      <c r="C432" s="1">
        <v>2012</v>
      </c>
      <c r="D432" s="1" t="s">
        <v>57</v>
      </c>
      <c r="E432" s="1">
        <v>1</v>
      </c>
      <c r="F432" s="1">
        <v>1</v>
      </c>
      <c r="G432" s="1" t="s">
        <v>27</v>
      </c>
      <c r="H432" s="1" t="s">
        <v>28</v>
      </c>
      <c r="I432" s="3">
        <v>41186.466423611113</v>
      </c>
      <c r="J432" s="1">
        <v>1</v>
      </c>
      <c r="K432" s="1">
        <v>0</v>
      </c>
    </row>
    <row r="433" spans="1:11" ht="21.75" customHeight="1">
      <c r="A433" s="2">
        <v>4</v>
      </c>
      <c r="B433" s="1" t="s">
        <v>43</v>
      </c>
      <c r="C433" s="1">
        <v>2012</v>
      </c>
      <c r="D433" s="1" t="s">
        <v>57</v>
      </c>
      <c r="E433" s="1">
        <v>2</v>
      </c>
      <c r="F433" s="1">
        <v>2</v>
      </c>
      <c r="G433" s="1" t="s">
        <v>27</v>
      </c>
      <c r="H433" s="1" t="s">
        <v>28</v>
      </c>
      <c r="I433" s="3">
        <v>41186.466053240743</v>
      </c>
      <c r="J433" s="1">
        <v>1</v>
      </c>
      <c r="K433" s="1">
        <v>0</v>
      </c>
    </row>
    <row r="434" spans="1:11" ht="21.75" customHeight="1">
      <c r="A434" s="2">
        <v>5</v>
      </c>
      <c r="B434" s="1" t="s">
        <v>43</v>
      </c>
      <c r="C434" s="1">
        <v>2012</v>
      </c>
      <c r="D434" s="1" t="s">
        <v>57</v>
      </c>
      <c r="E434" s="1">
        <v>3</v>
      </c>
      <c r="F434" s="1">
        <v>3</v>
      </c>
      <c r="G434" s="1" t="s">
        <v>27</v>
      </c>
      <c r="H434" s="1" t="s">
        <v>28</v>
      </c>
      <c r="I434" s="3">
        <v>41187.474131944444</v>
      </c>
      <c r="J434" s="1">
        <v>1</v>
      </c>
      <c r="K434" s="1">
        <v>0</v>
      </c>
    </row>
    <row r="435" spans="1:11" ht="21.75" customHeight="1">
      <c r="A435" s="2">
        <v>27</v>
      </c>
      <c r="B435" s="1" t="s">
        <v>43</v>
      </c>
      <c r="C435" s="1">
        <v>2012</v>
      </c>
      <c r="D435" s="1" t="s">
        <v>57</v>
      </c>
      <c r="E435" s="1">
        <v>1</v>
      </c>
      <c r="F435" s="1">
        <v>1</v>
      </c>
      <c r="G435" s="1" t="s">
        <v>27</v>
      </c>
      <c r="H435" s="1" t="s">
        <v>28</v>
      </c>
      <c r="I435" s="3">
        <v>41209.439293981479</v>
      </c>
      <c r="J435" s="1">
        <v>1</v>
      </c>
      <c r="K435" s="1">
        <v>0</v>
      </c>
    </row>
    <row r="436" spans="1:11" ht="21.75" customHeight="1">
      <c r="A436" s="2">
        <v>31</v>
      </c>
      <c r="B436" s="1" t="s">
        <v>43</v>
      </c>
      <c r="C436" s="1">
        <v>2012</v>
      </c>
      <c r="D436" s="1" t="s">
        <v>57</v>
      </c>
      <c r="E436" s="1">
        <v>2</v>
      </c>
      <c r="F436" s="1">
        <v>2</v>
      </c>
      <c r="G436" s="1" t="s">
        <v>27</v>
      </c>
      <c r="H436" s="1" t="s">
        <v>33</v>
      </c>
      <c r="I436" s="3">
        <v>41212.729895833334</v>
      </c>
      <c r="J436" s="1">
        <v>1</v>
      </c>
      <c r="K436" s="1">
        <v>0</v>
      </c>
    </row>
    <row r="437" spans="1:11" ht="21.75" customHeight="1">
      <c r="A437" s="2">
        <v>2</v>
      </c>
      <c r="B437" s="1" t="s">
        <v>44</v>
      </c>
      <c r="C437" s="1">
        <v>2012</v>
      </c>
      <c r="D437" s="1" t="s">
        <v>57</v>
      </c>
      <c r="E437" s="1">
        <v>4</v>
      </c>
      <c r="F437" s="1">
        <v>4</v>
      </c>
      <c r="G437" s="1" t="s">
        <v>27</v>
      </c>
      <c r="H437" s="1" t="s">
        <v>28</v>
      </c>
      <c r="I437" s="3">
        <v>41218.692696759259</v>
      </c>
      <c r="J437" s="1">
        <v>1</v>
      </c>
      <c r="K437" s="1">
        <v>0</v>
      </c>
    </row>
    <row r="438" spans="1:11" ht="21.75" customHeight="1">
      <c r="A438" s="2">
        <v>4</v>
      </c>
      <c r="B438" s="1" t="s">
        <v>44</v>
      </c>
      <c r="C438" s="1">
        <v>2012</v>
      </c>
      <c r="D438" s="1" t="s">
        <v>57</v>
      </c>
      <c r="E438" s="1">
        <v>3</v>
      </c>
      <c r="F438" s="1">
        <v>3</v>
      </c>
      <c r="G438" s="1" t="s">
        <v>27</v>
      </c>
      <c r="H438" s="1" t="s">
        <v>28</v>
      </c>
      <c r="I438" s="3">
        <v>41218.48609953704</v>
      </c>
      <c r="J438" s="1">
        <v>1</v>
      </c>
      <c r="K438" s="1">
        <v>0</v>
      </c>
    </row>
    <row r="439" spans="1:11" ht="21.75" customHeight="1">
      <c r="A439" s="2">
        <v>9</v>
      </c>
      <c r="B439" s="1" t="s">
        <v>44</v>
      </c>
      <c r="C439" s="1">
        <v>2012</v>
      </c>
      <c r="D439" s="1" t="s">
        <v>57</v>
      </c>
      <c r="E439" s="1">
        <v>2</v>
      </c>
      <c r="F439" s="1">
        <v>2</v>
      </c>
      <c r="G439" s="1" t="s">
        <v>27</v>
      </c>
      <c r="H439" s="1" t="s">
        <v>28</v>
      </c>
      <c r="I439" s="3">
        <v>41222.389201388891</v>
      </c>
      <c r="J439" s="1">
        <v>1</v>
      </c>
      <c r="K439" s="1">
        <v>0</v>
      </c>
    </row>
    <row r="440" spans="1:11" ht="21.75" customHeight="1">
      <c r="A440" s="2">
        <v>9</v>
      </c>
      <c r="B440" s="1" t="s">
        <v>44</v>
      </c>
      <c r="C440" s="1">
        <v>2012</v>
      </c>
      <c r="D440" s="1" t="s">
        <v>57</v>
      </c>
      <c r="E440" s="1">
        <v>1</v>
      </c>
      <c r="F440" s="1">
        <v>1</v>
      </c>
      <c r="G440" s="1" t="s">
        <v>27</v>
      </c>
      <c r="H440" s="1" t="s">
        <v>33</v>
      </c>
      <c r="I440" s="3">
        <v>41222.482175925928</v>
      </c>
      <c r="J440" s="1">
        <v>1</v>
      </c>
      <c r="K440" s="1">
        <v>0</v>
      </c>
    </row>
    <row r="441" spans="1:11" ht="21.75" customHeight="1">
      <c r="A441" s="2">
        <v>13</v>
      </c>
      <c r="B441" s="1" t="s">
        <v>44</v>
      </c>
      <c r="C441" s="1">
        <v>2012</v>
      </c>
      <c r="D441" s="1" t="s">
        <v>57</v>
      </c>
      <c r="E441" s="1">
        <v>1</v>
      </c>
      <c r="F441" s="1">
        <v>1</v>
      </c>
      <c r="G441" s="1" t="s">
        <v>27</v>
      </c>
      <c r="H441" s="1" t="s">
        <v>28</v>
      </c>
      <c r="I441" s="3">
        <v>41225.614039351851</v>
      </c>
      <c r="J441" s="1">
        <v>1</v>
      </c>
      <c r="K441" s="1">
        <v>0</v>
      </c>
    </row>
    <row r="442" spans="1:11" ht="21.75" customHeight="1">
      <c r="A442" s="2">
        <v>16</v>
      </c>
      <c r="B442" s="1" t="s">
        <v>44</v>
      </c>
      <c r="C442" s="1">
        <v>2012</v>
      </c>
      <c r="D442" s="1" t="s">
        <v>57</v>
      </c>
      <c r="E442" s="1">
        <v>1</v>
      </c>
      <c r="F442" s="1">
        <v>1</v>
      </c>
      <c r="G442" s="1" t="s">
        <v>27</v>
      </c>
      <c r="H442" s="1" t="s">
        <v>28</v>
      </c>
      <c r="I442" s="3">
        <v>41229.409826388888</v>
      </c>
      <c r="J442" s="1">
        <v>1</v>
      </c>
      <c r="K442" s="1">
        <v>0</v>
      </c>
    </row>
    <row r="443" spans="1:11" ht="21.75" customHeight="1">
      <c r="A443" s="2">
        <v>2</v>
      </c>
      <c r="B443" s="1" t="s">
        <v>45</v>
      </c>
      <c r="C443" s="1">
        <v>2012</v>
      </c>
      <c r="D443" s="1" t="s">
        <v>57</v>
      </c>
      <c r="E443" s="1">
        <v>4</v>
      </c>
      <c r="F443" s="1">
        <v>4</v>
      </c>
      <c r="G443" s="1" t="s">
        <v>27</v>
      </c>
      <c r="H443" s="1" t="s">
        <v>28</v>
      </c>
      <c r="I443" s="3">
        <v>41246.511678240742</v>
      </c>
      <c r="J443" s="1">
        <v>1</v>
      </c>
      <c r="K443" s="1">
        <v>0</v>
      </c>
    </row>
    <row r="444" spans="1:11" ht="21.75" customHeight="1">
      <c r="A444" s="2">
        <v>13</v>
      </c>
      <c r="B444" s="1" t="s">
        <v>45</v>
      </c>
      <c r="C444" s="1">
        <v>2012</v>
      </c>
      <c r="D444" s="1" t="s">
        <v>57</v>
      </c>
      <c r="E444" s="1">
        <v>2</v>
      </c>
      <c r="F444" s="1">
        <v>2</v>
      </c>
      <c r="G444" s="1" t="s">
        <v>27</v>
      </c>
      <c r="H444" s="1" t="s">
        <v>28</v>
      </c>
      <c r="I444" s="3">
        <v>41255.671805555554</v>
      </c>
      <c r="J444" s="1">
        <v>1</v>
      </c>
      <c r="K444" s="1">
        <v>0</v>
      </c>
    </row>
    <row r="445" spans="1:11" ht="21.75" customHeight="1">
      <c r="A445" s="2">
        <v>14</v>
      </c>
      <c r="B445" s="1" t="s">
        <v>45</v>
      </c>
      <c r="C445" s="1">
        <v>2012</v>
      </c>
      <c r="D445" s="1" t="s">
        <v>57</v>
      </c>
      <c r="E445" s="1">
        <v>3</v>
      </c>
      <c r="F445" s="1">
        <v>3</v>
      </c>
      <c r="G445" s="1" t="s">
        <v>27</v>
      </c>
      <c r="H445" s="1" t="s">
        <v>28</v>
      </c>
      <c r="I445" s="3">
        <v>41256.621064814812</v>
      </c>
      <c r="J445" s="1">
        <v>1</v>
      </c>
      <c r="K445" s="1">
        <v>0</v>
      </c>
    </row>
    <row r="446" spans="1:11" ht="21.75" customHeight="1">
      <c r="A446" s="2">
        <v>21</v>
      </c>
      <c r="B446" s="1" t="s">
        <v>45</v>
      </c>
      <c r="C446" s="1">
        <v>2012</v>
      </c>
      <c r="D446" s="1" t="s">
        <v>57</v>
      </c>
      <c r="E446" s="1">
        <v>1</v>
      </c>
      <c r="F446" s="1">
        <v>1</v>
      </c>
      <c r="G446" s="1" t="s">
        <v>27</v>
      </c>
      <c r="H446" s="1" t="s">
        <v>28</v>
      </c>
      <c r="I446" s="3">
        <v>41264.664039351854</v>
      </c>
      <c r="J446" s="1">
        <v>1</v>
      </c>
      <c r="K446" s="1">
        <v>0</v>
      </c>
    </row>
    <row r="447" spans="1:11" ht="21.75" customHeight="1">
      <c r="A447" s="2">
        <v>29</v>
      </c>
      <c r="B447" s="1" t="s">
        <v>45</v>
      </c>
      <c r="C447" s="1">
        <v>2012</v>
      </c>
      <c r="D447" s="1" t="s">
        <v>57</v>
      </c>
      <c r="E447" s="1">
        <v>2</v>
      </c>
      <c r="F447" s="1">
        <v>2</v>
      </c>
      <c r="G447" s="1" t="s">
        <v>27</v>
      </c>
      <c r="H447" s="1" t="s">
        <v>28</v>
      </c>
      <c r="I447" s="3">
        <v>41271.768125000002</v>
      </c>
      <c r="J447" s="1">
        <v>1</v>
      </c>
      <c r="K447" s="1">
        <v>0</v>
      </c>
    </row>
    <row r="448" spans="1:11" ht="21.75" customHeight="1">
      <c r="A448" s="2">
        <v>13</v>
      </c>
      <c r="B448" s="1" t="s">
        <v>25</v>
      </c>
      <c r="C448" s="1">
        <v>2012</v>
      </c>
      <c r="D448" s="1" t="s">
        <v>57</v>
      </c>
      <c r="E448" s="1">
        <v>2</v>
      </c>
      <c r="F448" s="1">
        <v>2</v>
      </c>
      <c r="G448" s="1" t="s">
        <v>27</v>
      </c>
      <c r="H448" s="1" t="s">
        <v>28</v>
      </c>
      <c r="I448" s="3">
        <v>40922.354988425926</v>
      </c>
      <c r="J448" s="1">
        <v>1</v>
      </c>
      <c r="K448" s="1">
        <v>0</v>
      </c>
    </row>
    <row r="449" spans="1:11" ht="21.75" customHeight="1">
      <c r="A449" s="2">
        <v>28</v>
      </c>
      <c r="B449" s="1" t="s">
        <v>32</v>
      </c>
      <c r="C449" s="1">
        <v>2012</v>
      </c>
      <c r="D449" s="1" t="s">
        <v>57</v>
      </c>
      <c r="E449" s="1">
        <v>2</v>
      </c>
      <c r="F449" s="1">
        <v>2</v>
      </c>
      <c r="G449" s="1" t="s">
        <v>27</v>
      </c>
      <c r="H449" s="1" t="s">
        <v>33</v>
      </c>
      <c r="I449" s="3">
        <v>41026.61273148148</v>
      </c>
      <c r="J449" s="1">
        <v>1</v>
      </c>
      <c r="K449" s="1">
        <v>0</v>
      </c>
    </row>
    <row r="450" spans="1:11" ht="21.75" customHeight="1">
      <c r="A450" s="2">
        <v>31</v>
      </c>
      <c r="B450" s="1" t="s">
        <v>32</v>
      </c>
      <c r="C450" s="1">
        <v>2012</v>
      </c>
      <c r="D450" s="1" t="s">
        <v>57</v>
      </c>
      <c r="E450" s="1">
        <v>1</v>
      </c>
      <c r="F450" s="1">
        <v>1</v>
      </c>
      <c r="G450" s="1" t="s">
        <v>27</v>
      </c>
      <c r="H450" s="1" t="s">
        <v>28</v>
      </c>
      <c r="I450" s="3">
        <v>41029.620289351849</v>
      </c>
      <c r="J450" s="1">
        <v>1</v>
      </c>
      <c r="K450" s="1">
        <v>0</v>
      </c>
    </row>
    <row r="451" spans="1:11" ht="21.75" customHeight="1">
      <c r="A451" s="2">
        <v>3</v>
      </c>
      <c r="B451" s="1" t="s">
        <v>34</v>
      </c>
      <c r="C451" s="1">
        <v>2012</v>
      </c>
      <c r="D451" s="1" t="s">
        <v>57</v>
      </c>
      <c r="E451" s="1">
        <v>1</v>
      </c>
      <c r="F451" s="1">
        <v>1</v>
      </c>
      <c r="G451" s="1" t="s">
        <v>27</v>
      </c>
      <c r="H451" s="1" t="s">
        <v>28</v>
      </c>
      <c r="I451" s="3">
        <v>41033.583055555559</v>
      </c>
      <c r="J451" s="1">
        <v>1</v>
      </c>
      <c r="K451" s="1">
        <v>0</v>
      </c>
    </row>
    <row r="452" spans="1:11" ht="21.75" customHeight="1">
      <c r="A452" s="2">
        <v>26</v>
      </c>
      <c r="B452" s="1" t="s">
        <v>34</v>
      </c>
      <c r="C452" s="1">
        <v>2012</v>
      </c>
      <c r="D452" s="1" t="s">
        <v>57</v>
      </c>
      <c r="E452" s="1">
        <v>1</v>
      </c>
      <c r="F452" s="1">
        <v>1</v>
      </c>
      <c r="G452" s="1" t="s">
        <v>27</v>
      </c>
      <c r="H452" s="1" t="s">
        <v>28</v>
      </c>
      <c r="I452" s="3">
        <v>41054.484953703701</v>
      </c>
      <c r="J452" s="1">
        <v>1</v>
      </c>
      <c r="K452" s="1">
        <v>0</v>
      </c>
    </row>
    <row r="453" spans="1:11" ht="21.75" customHeight="1">
      <c r="A453" s="2">
        <v>30</v>
      </c>
      <c r="B453" s="1" t="s">
        <v>34</v>
      </c>
      <c r="C453" s="1">
        <v>2012</v>
      </c>
      <c r="D453" s="1" t="s">
        <v>57</v>
      </c>
      <c r="E453" s="1">
        <v>5</v>
      </c>
      <c r="F453" s="1">
        <v>5</v>
      </c>
      <c r="G453" s="1" t="s">
        <v>27</v>
      </c>
      <c r="H453" s="1" t="s">
        <v>28</v>
      </c>
      <c r="I453" s="3">
        <v>41059.397928240738</v>
      </c>
      <c r="J453" s="1">
        <v>1</v>
      </c>
      <c r="K453" s="1">
        <v>0</v>
      </c>
    </row>
    <row r="454" spans="1:11" ht="21.75" customHeight="1">
      <c r="A454" s="2">
        <v>7</v>
      </c>
      <c r="B454" s="1" t="s">
        <v>36</v>
      </c>
      <c r="C454" s="1">
        <v>2012</v>
      </c>
      <c r="D454" s="1" t="s">
        <v>57</v>
      </c>
      <c r="E454" s="1">
        <v>2</v>
      </c>
      <c r="F454" s="1">
        <v>2</v>
      </c>
      <c r="G454" s="1" t="s">
        <v>27</v>
      </c>
      <c r="H454" s="1" t="s">
        <v>28</v>
      </c>
      <c r="I454" s="3">
        <v>41097.347546296296</v>
      </c>
      <c r="J454" s="1">
        <v>1</v>
      </c>
      <c r="K454" s="1">
        <v>0</v>
      </c>
    </row>
    <row r="455" spans="1:11" ht="21.75" customHeight="1">
      <c r="A455" s="2">
        <v>11</v>
      </c>
      <c r="B455" s="1" t="s">
        <v>36</v>
      </c>
      <c r="C455" s="1">
        <v>2012</v>
      </c>
      <c r="D455" s="1" t="s">
        <v>57</v>
      </c>
      <c r="E455" s="1">
        <v>2</v>
      </c>
      <c r="F455" s="1">
        <v>2</v>
      </c>
      <c r="G455" s="1" t="s">
        <v>27</v>
      </c>
      <c r="H455" s="1" t="s">
        <v>28</v>
      </c>
      <c r="I455" s="3">
        <v>41101.484965277778</v>
      </c>
      <c r="J455" s="1">
        <v>1</v>
      </c>
      <c r="K455" s="1">
        <v>0</v>
      </c>
    </row>
    <row r="456" spans="1:11" ht="21.75" customHeight="1">
      <c r="A456" s="2">
        <v>22</v>
      </c>
      <c r="B456" s="1" t="s">
        <v>36</v>
      </c>
      <c r="C456" s="1">
        <v>2012</v>
      </c>
      <c r="D456" s="1" t="s">
        <v>57</v>
      </c>
      <c r="E456" s="1">
        <v>2</v>
      </c>
      <c r="F456" s="1">
        <v>2</v>
      </c>
      <c r="G456" s="1" t="s">
        <v>27</v>
      </c>
      <c r="H456" s="1" t="s">
        <v>28</v>
      </c>
      <c r="I456" s="3">
        <v>41114.503425925926</v>
      </c>
      <c r="J456" s="1">
        <v>1</v>
      </c>
      <c r="K456" s="1">
        <v>0</v>
      </c>
    </row>
    <row r="457" spans="1:11" ht="21.75" customHeight="1">
      <c r="A457" s="2">
        <v>24</v>
      </c>
      <c r="B457" s="1" t="s">
        <v>37</v>
      </c>
      <c r="C457" s="1">
        <v>2012</v>
      </c>
      <c r="D457" s="1" t="s">
        <v>57</v>
      </c>
      <c r="E457" s="1">
        <v>1</v>
      </c>
      <c r="F457" s="1">
        <v>1</v>
      </c>
      <c r="G457" s="1" t="s">
        <v>27</v>
      </c>
      <c r="H457" s="1" t="s">
        <v>28</v>
      </c>
      <c r="I457" s="3">
        <v>41148.450972222221</v>
      </c>
      <c r="J457" s="1">
        <v>1</v>
      </c>
      <c r="K457" s="1">
        <v>0</v>
      </c>
    </row>
    <row r="458" spans="1:11" ht="21.75" customHeight="1">
      <c r="A458" s="2">
        <v>28</v>
      </c>
      <c r="B458" s="1" t="s">
        <v>37</v>
      </c>
      <c r="C458" s="1">
        <v>2012</v>
      </c>
      <c r="D458" s="1" t="s">
        <v>57</v>
      </c>
      <c r="E458" s="1">
        <v>2</v>
      </c>
      <c r="F458" s="1">
        <v>2</v>
      </c>
      <c r="G458" s="1" t="s">
        <v>27</v>
      </c>
      <c r="H458" s="1" t="s">
        <v>28</v>
      </c>
      <c r="I458" s="3">
        <v>41149.522685185184</v>
      </c>
      <c r="J458" s="1">
        <v>1</v>
      </c>
      <c r="K458" s="1">
        <v>0</v>
      </c>
    </row>
    <row r="459" spans="1:11" ht="21.75" customHeight="1">
      <c r="A459" s="2">
        <v>15</v>
      </c>
      <c r="B459" s="1" t="s">
        <v>38</v>
      </c>
      <c r="C459" s="1">
        <v>2012</v>
      </c>
      <c r="D459" s="1" t="s">
        <v>57</v>
      </c>
      <c r="E459" s="1">
        <v>20</v>
      </c>
      <c r="F459" s="1">
        <v>20</v>
      </c>
      <c r="G459" s="1" t="s">
        <v>27</v>
      </c>
      <c r="H459" s="1" t="s">
        <v>28</v>
      </c>
      <c r="I459" s="3">
        <v>41169.591493055559</v>
      </c>
      <c r="J459" s="1">
        <v>1</v>
      </c>
      <c r="K459" s="1">
        <v>0</v>
      </c>
    </row>
    <row r="460" spans="1:11" ht="21.75" customHeight="1">
      <c r="A460" s="2">
        <v>8</v>
      </c>
      <c r="B460" s="1" t="s">
        <v>38</v>
      </c>
      <c r="C460" s="1">
        <v>2012</v>
      </c>
      <c r="D460" s="1" t="s">
        <v>57</v>
      </c>
      <c r="E460" s="1">
        <v>2</v>
      </c>
      <c r="F460" s="1">
        <v>2</v>
      </c>
      <c r="G460" s="1" t="s">
        <v>27</v>
      </c>
      <c r="H460" s="1" t="s">
        <v>28</v>
      </c>
      <c r="I460" s="3">
        <v>41164.630879629629</v>
      </c>
      <c r="J460" s="1">
        <v>1</v>
      </c>
      <c r="K460" s="1">
        <v>0</v>
      </c>
    </row>
    <row r="461" spans="1:11" ht="21.75" customHeight="1">
      <c r="A461" s="2">
        <v>10</v>
      </c>
      <c r="B461" s="1" t="s">
        <v>38</v>
      </c>
      <c r="C461" s="1">
        <v>2012</v>
      </c>
      <c r="D461" s="1" t="s">
        <v>57</v>
      </c>
      <c r="E461" s="1">
        <v>4</v>
      </c>
      <c r="F461" s="1">
        <v>4</v>
      </c>
      <c r="G461" s="1" t="s">
        <v>27</v>
      </c>
      <c r="H461" s="1" t="s">
        <v>28</v>
      </c>
      <c r="I461" s="3">
        <v>41162.721932870372</v>
      </c>
      <c r="J461" s="1">
        <v>1</v>
      </c>
      <c r="K461" s="1">
        <v>0</v>
      </c>
    </row>
    <row r="462" spans="1:11" ht="21.75" customHeight="1">
      <c r="A462" s="2">
        <v>4</v>
      </c>
      <c r="B462" s="1" t="s">
        <v>43</v>
      </c>
      <c r="C462" s="1">
        <v>2012</v>
      </c>
      <c r="D462" s="1" t="s">
        <v>57</v>
      </c>
      <c r="E462" s="1">
        <v>5</v>
      </c>
      <c r="F462" s="1">
        <v>5</v>
      </c>
      <c r="G462" s="1" t="s">
        <v>27</v>
      </c>
      <c r="H462" s="1" t="s">
        <v>28</v>
      </c>
      <c r="I462" s="3">
        <v>41191.615428240744</v>
      </c>
      <c r="J462" s="1">
        <v>1</v>
      </c>
      <c r="K462" s="1">
        <v>0</v>
      </c>
    </row>
    <row r="463" spans="1:11" ht="21.75" customHeight="1">
      <c r="A463" s="2">
        <v>13</v>
      </c>
      <c r="B463" s="1" t="s">
        <v>43</v>
      </c>
      <c r="C463" s="1">
        <v>2012</v>
      </c>
      <c r="D463" s="1" t="s">
        <v>57</v>
      </c>
      <c r="E463" s="1">
        <v>3</v>
      </c>
      <c r="F463" s="1">
        <v>3</v>
      </c>
      <c r="G463" s="1" t="s">
        <v>27</v>
      </c>
      <c r="H463" s="1" t="s">
        <v>28</v>
      </c>
      <c r="I463" s="3">
        <v>41197.63208333333</v>
      </c>
      <c r="J463" s="1">
        <v>1</v>
      </c>
      <c r="K463" s="1">
        <v>0</v>
      </c>
    </row>
    <row r="464" spans="1:11" ht="21.75" customHeight="1">
      <c r="A464" s="2">
        <v>18</v>
      </c>
      <c r="B464" s="1" t="s">
        <v>43</v>
      </c>
      <c r="C464" s="1">
        <v>2012</v>
      </c>
      <c r="D464" s="1" t="s">
        <v>57</v>
      </c>
      <c r="E464" s="1">
        <v>2</v>
      </c>
      <c r="F464" s="1">
        <v>2</v>
      </c>
      <c r="G464" s="1" t="s">
        <v>27</v>
      </c>
      <c r="H464" s="1" t="s">
        <v>33</v>
      </c>
      <c r="I464" s="3">
        <v>41201.641805555555</v>
      </c>
      <c r="J464" s="1">
        <v>1</v>
      </c>
      <c r="K464" s="1">
        <v>0</v>
      </c>
    </row>
    <row r="465" spans="1:11" ht="21.75" customHeight="1">
      <c r="A465" s="2">
        <v>20</v>
      </c>
      <c r="B465" s="1" t="s">
        <v>44</v>
      </c>
      <c r="C465" s="1">
        <v>2012</v>
      </c>
      <c r="D465" s="1" t="s">
        <v>57</v>
      </c>
      <c r="E465" s="1">
        <v>2</v>
      </c>
      <c r="F465" s="1">
        <v>2</v>
      </c>
      <c r="G465" s="1" t="s">
        <v>27</v>
      </c>
      <c r="H465" s="1" t="s">
        <v>28</v>
      </c>
      <c r="I465" s="3">
        <v>41236.624583333331</v>
      </c>
      <c r="J465" s="1">
        <v>1</v>
      </c>
      <c r="K465" s="1">
        <v>0</v>
      </c>
    </row>
    <row r="466" spans="1:11" ht="21.75" customHeight="1">
      <c r="A466" s="2">
        <v>25</v>
      </c>
      <c r="B466" s="1" t="s">
        <v>44</v>
      </c>
      <c r="C466" s="1">
        <v>2012</v>
      </c>
      <c r="D466" s="1" t="s">
        <v>57</v>
      </c>
      <c r="E466" s="1">
        <v>1</v>
      </c>
      <c r="F466" s="1">
        <v>1</v>
      </c>
      <c r="G466" s="1" t="s">
        <v>27</v>
      </c>
      <c r="H466" s="1" t="s">
        <v>28</v>
      </c>
      <c r="I466" s="3">
        <v>41239.467187499999</v>
      </c>
      <c r="J466" s="1">
        <v>1</v>
      </c>
      <c r="K466" s="1">
        <v>0</v>
      </c>
    </row>
    <row r="467" spans="1:11" ht="21.75" customHeight="1">
      <c r="A467" s="2">
        <v>30</v>
      </c>
      <c r="B467" s="1" t="s">
        <v>44</v>
      </c>
      <c r="C467" s="1">
        <v>2012</v>
      </c>
      <c r="D467" s="1" t="s">
        <v>57</v>
      </c>
      <c r="E467" s="1">
        <v>2</v>
      </c>
      <c r="F467" s="1">
        <v>2</v>
      </c>
      <c r="G467" s="1" t="s">
        <v>27</v>
      </c>
      <c r="H467" s="1" t="s">
        <v>28</v>
      </c>
      <c r="I467" s="3">
        <v>41243.468287037038</v>
      </c>
      <c r="J467" s="1">
        <v>1</v>
      </c>
      <c r="K467" s="1">
        <v>0</v>
      </c>
    </row>
    <row r="468" spans="1:11" ht="21.75" customHeight="1">
      <c r="A468" s="2">
        <v>4</v>
      </c>
      <c r="B468" s="1" t="s">
        <v>45</v>
      </c>
      <c r="C468" s="1">
        <v>2012</v>
      </c>
      <c r="D468" s="1" t="s">
        <v>57</v>
      </c>
      <c r="E468" s="1">
        <v>1</v>
      </c>
      <c r="F468" s="1">
        <v>1</v>
      </c>
      <c r="G468" s="1" t="s">
        <v>27</v>
      </c>
      <c r="H468" s="1" t="s">
        <v>28</v>
      </c>
      <c r="I468" s="3">
        <v>41247.434803240743</v>
      </c>
      <c r="J468" s="1">
        <v>1</v>
      </c>
      <c r="K468" s="1">
        <v>0</v>
      </c>
    </row>
    <row r="469" spans="1:11" ht="21.75" customHeight="1">
      <c r="A469" s="2">
        <v>27</v>
      </c>
      <c r="B469" s="1" t="s">
        <v>44</v>
      </c>
      <c r="C469" s="1">
        <v>2012</v>
      </c>
      <c r="D469" s="1" t="s">
        <v>57</v>
      </c>
      <c r="E469" s="1">
        <v>2</v>
      </c>
      <c r="F469" s="1">
        <v>2</v>
      </c>
      <c r="G469" s="1" t="s">
        <v>27</v>
      </c>
      <c r="H469" s="1" t="s">
        <v>28</v>
      </c>
      <c r="I469" s="3">
        <v>41239.780821759261</v>
      </c>
      <c r="J469" s="1">
        <v>1</v>
      </c>
      <c r="K469" s="1">
        <v>0</v>
      </c>
    </row>
    <row r="470" spans="1:11" ht="21.75" customHeight="1">
      <c r="A470" s="2">
        <v>10</v>
      </c>
      <c r="B470" s="1" t="s">
        <v>25</v>
      </c>
      <c r="C470" s="1">
        <v>2012</v>
      </c>
      <c r="D470" s="1" t="s">
        <v>57</v>
      </c>
      <c r="E470" s="1">
        <v>3</v>
      </c>
      <c r="F470" s="1">
        <v>3</v>
      </c>
      <c r="G470" s="1" t="s">
        <v>27</v>
      </c>
      <c r="H470" s="1" t="s">
        <v>28</v>
      </c>
      <c r="I470" s="3">
        <v>40359.450335648151</v>
      </c>
      <c r="J470" s="1">
        <v>1</v>
      </c>
      <c r="K470" s="1">
        <v>0</v>
      </c>
    </row>
    <row r="471" spans="1:11" ht="21.75" customHeight="1">
      <c r="A471" s="2">
        <v>10</v>
      </c>
      <c r="B471" s="1" t="s">
        <v>25</v>
      </c>
      <c r="C471" s="1">
        <v>2012</v>
      </c>
      <c r="D471" s="1" t="s">
        <v>57</v>
      </c>
      <c r="E471" s="1">
        <v>3</v>
      </c>
      <c r="F471" s="1">
        <v>3</v>
      </c>
      <c r="G471" s="1" t="s">
        <v>27</v>
      </c>
      <c r="H471" s="1" t="s">
        <v>33</v>
      </c>
      <c r="I471" s="3">
        <v>40917.638599537036</v>
      </c>
      <c r="J471" s="1">
        <v>1</v>
      </c>
      <c r="K471" s="1">
        <v>0</v>
      </c>
    </row>
    <row r="472" spans="1:11" ht="21.75" customHeight="1">
      <c r="A472" s="2">
        <v>16</v>
      </c>
      <c r="B472" s="1" t="s">
        <v>41</v>
      </c>
      <c r="C472" s="1">
        <v>2012</v>
      </c>
      <c r="D472" s="1" t="s">
        <v>57</v>
      </c>
      <c r="E472" s="1">
        <v>2</v>
      </c>
      <c r="F472" s="1">
        <v>2</v>
      </c>
      <c r="G472" s="1" t="s">
        <v>27</v>
      </c>
      <c r="H472" s="1" t="s">
        <v>28</v>
      </c>
      <c r="I472" s="3">
        <v>40955.485879629632</v>
      </c>
      <c r="J472" s="1">
        <v>1</v>
      </c>
      <c r="K472" s="1">
        <v>0</v>
      </c>
    </row>
    <row r="473" spans="1:11" ht="21.75" customHeight="1">
      <c r="A473" s="2">
        <v>25</v>
      </c>
      <c r="B473" s="1" t="s">
        <v>41</v>
      </c>
      <c r="C473" s="1">
        <v>2012</v>
      </c>
      <c r="D473" s="1" t="s">
        <v>57</v>
      </c>
      <c r="E473" s="1">
        <v>2</v>
      </c>
      <c r="F473" s="1">
        <v>2</v>
      </c>
      <c r="G473" s="1" t="s">
        <v>27</v>
      </c>
      <c r="H473" s="1" t="s">
        <v>28</v>
      </c>
      <c r="I473" s="3">
        <v>40963.633599537039</v>
      </c>
      <c r="J473" s="1">
        <v>1</v>
      </c>
      <c r="K473" s="1">
        <v>0</v>
      </c>
    </row>
    <row r="474" spans="1:11" ht="21.75" customHeight="1">
      <c r="A474" s="2">
        <v>24</v>
      </c>
      <c r="B474" s="1" t="s">
        <v>31</v>
      </c>
      <c r="C474" s="1">
        <v>2012</v>
      </c>
      <c r="D474" s="1" t="s">
        <v>57</v>
      </c>
      <c r="E474" s="1">
        <v>4</v>
      </c>
      <c r="F474" s="1">
        <v>4</v>
      </c>
      <c r="G474" s="1" t="s">
        <v>27</v>
      </c>
      <c r="H474" s="1" t="s">
        <v>33</v>
      </c>
      <c r="I474" s="3">
        <v>40992.425474537034</v>
      </c>
      <c r="J474" s="1">
        <v>1</v>
      </c>
      <c r="K474" s="1">
        <v>0</v>
      </c>
    </row>
    <row r="475" spans="1:11" ht="21.75" customHeight="1">
      <c r="A475" s="2">
        <v>9</v>
      </c>
      <c r="B475" s="1" t="s">
        <v>34</v>
      </c>
      <c r="C475" s="1">
        <v>2012</v>
      </c>
      <c r="D475" s="1" t="s">
        <v>57</v>
      </c>
      <c r="E475" s="1">
        <v>4</v>
      </c>
      <c r="F475" s="1">
        <v>4</v>
      </c>
      <c r="G475" s="1" t="s">
        <v>27</v>
      </c>
      <c r="H475" s="1" t="s">
        <v>28</v>
      </c>
      <c r="I475" s="3">
        <v>41038.3203125</v>
      </c>
      <c r="J475" s="1">
        <v>1</v>
      </c>
      <c r="K475" s="1">
        <v>0</v>
      </c>
    </row>
    <row r="476" spans="1:11" ht="21.75" customHeight="1">
      <c r="A476" s="2">
        <v>9</v>
      </c>
      <c r="B476" s="1" t="s">
        <v>34</v>
      </c>
      <c r="C476" s="1">
        <v>2012</v>
      </c>
      <c r="D476" s="1" t="s">
        <v>57</v>
      </c>
      <c r="E476" s="1">
        <v>3</v>
      </c>
      <c r="F476" s="1">
        <v>3</v>
      </c>
      <c r="G476" s="1" t="s">
        <v>27</v>
      </c>
      <c r="H476" s="1" t="s">
        <v>28</v>
      </c>
      <c r="I476" s="3">
        <v>41038.350590277776</v>
      </c>
      <c r="J476" s="1">
        <v>1</v>
      </c>
      <c r="K476" s="1">
        <v>0</v>
      </c>
    </row>
    <row r="477" spans="1:11" ht="21.75" customHeight="1">
      <c r="A477" s="2">
        <v>9</v>
      </c>
      <c r="B477" s="1" t="s">
        <v>34</v>
      </c>
      <c r="C477" s="1">
        <v>2012</v>
      </c>
      <c r="D477" s="1" t="s">
        <v>57</v>
      </c>
      <c r="E477" s="1">
        <v>1</v>
      </c>
      <c r="F477" s="1">
        <v>1</v>
      </c>
      <c r="G477" s="1" t="s">
        <v>27</v>
      </c>
      <c r="H477" s="1" t="s">
        <v>28</v>
      </c>
      <c r="I477" s="3">
        <v>41038.334490740737</v>
      </c>
      <c r="J477" s="1">
        <v>1</v>
      </c>
      <c r="K477" s="1">
        <v>0</v>
      </c>
    </row>
    <row r="478" spans="1:11" ht="21.75" customHeight="1">
      <c r="A478" s="2">
        <v>27</v>
      </c>
      <c r="B478" s="1" t="s">
        <v>34</v>
      </c>
      <c r="C478" s="1">
        <v>2012</v>
      </c>
      <c r="D478" s="1" t="s">
        <v>57</v>
      </c>
      <c r="E478" s="1">
        <v>2</v>
      </c>
      <c r="F478" s="1">
        <v>2</v>
      </c>
      <c r="G478" s="1" t="s">
        <v>27</v>
      </c>
      <c r="H478" s="1" t="s">
        <v>33</v>
      </c>
      <c r="I478" s="3">
        <v>41055.653958333336</v>
      </c>
      <c r="J478" s="1">
        <v>1</v>
      </c>
      <c r="K478" s="1">
        <v>0</v>
      </c>
    </row>
    <row r="479" spans="1:11" ht="21.75" customHeight="1">
      <c r="A479" s="2">
        <v>12</v>
      </c>
      <c r="B479" s="1" t="s">
        <v>35</v>
      </c>
      <c r="C479" s="1">
        <v>2012</v>
      </c>
      <c r="D479" s="1" t="s">
        <v>57</v>
      </c>
      <c r="E479" s="1">
        <v>1</v>
      </c>
      <c r="F479" s="1">
        <v>1</v>
      </c>
      <c r="G479" s="1" t="s">
        <v>27</v>
      </c>
      <c r="H479" s="1" t="s">
        <v>28</v>
      </c>
      <c r="I479" s="3">
        <v>41071.686597222222</v>
      </c>
      <c r="J479" s="1">
        <v>1</v>
      </c>
      <c r="K479" s="1">
        <v>0</v>
      </c>
    </row>
    <row r="480" spans="1:11" ht="21.75" customHeight="1">
      <c r="A480" s="2">
        <v>15</v>
      </c>
      <c r="B480" s="1" t="s">
        <v>35</v>
      </c>
      <c r="C480" s="1">
        <v>2012</v>
      </c>
      <c r="D480" s="1" t="s">
        <v>57</v>
      </c>
      <c r="E480" s="1">
        <v>20</v>
      </c>
      <c r="F480" s="1">
        <v>20</v>
      </c>
      <c r="G480" s="1" t="s">
        <v>27</v>
      </c>
      <c r="H480" s="1" t="s">
        <v>28</v>
      </c>
      <c r="I480" s="3">
        <v>41078.605543981481</v>
      </c>
      <c r="J480" s="1">
        <v>1</v>
      </c>
      <c r="K480" s="1">
        <v>0</v>
      </c>
    </row>
    <row r="481" spans="1:11" ht="21.75" customHeight="1">
      <c r="A481" s="2">
        <v>27</v>
      </c>
      <c r="B481" s="1" t="s">
        <v>36</v>
      </c>
      <c r="C481" s="1">
        <v>2012</v>
      </c>
      <c r="D481" s="1" t="s">
        <v>57</v>
      </c>
      <c r="E481" s="1">
        <v>2</v>
      </c>
      <c r="F481" s="1">
        <v>2</v>
      </c>
      <c r="G481" s="1" t="s">
        <v>27</v>
      </c>
      <c r="H481" s="1" t="s">
        <v>28</v>
      </c>
      <c r="I481" s="3">
        <v>41117.609456018516</v>
      </c>
      <c r="J481" s="1">
        <v>1</v>
      </c>
      <c r="K481" s="1">
        <v>0</v>
      </c>
    </row>
    <row r="482" spans="1:11" ht="21.75" customHeight="1">
      <c r="A482" s="2">
        <v>7</v>
      </c>
      <c r="B482" s="1" t="s">
        <v>37</v>
      </c>
      <c r="C482" s="1">
        <v>2012</v>
      </c>
      <c r="D482" s="1" t="s">
        <v>57</v>
      </c>
      <c r="E482" s="1">
        <v>1</v>
      </c>
      <c r="F482" s="1">
        <v>1</v>
      </c>
      <c r="G482" s="1" t="s">
        <v>27</v>
      </c>
      <c r="H482" s="1" t="s">
        <v>28</v>
      </c>
      <c r="I482" s="3">
        <v>41130.426990740743</v>
      </c>
      <c r="J482" s="1">
        <v>1</v>
      </c>
      <c r="K482" s="1">
        <v>0</v>
      </c>
    </row>
    <row r="483" spans="1:11" ht="21.75" customHeight="1">
      <c r="A483" s="2">
        <v>8</v>
      </c>
      <c r="B483" s="1" t="s">
        <v>37</v>
      </c>
      <c r="C483" s="1">
        <v>2012</v>
      </c>
      <c r="D483" s="1" t="s">
        <v>57</v>
      </c>
      <c r="E483" s="1">
        <v>1</v>
      </c>
      <c r="F483" s="1">
        <v>1</v>
      </c>
      <c r="G483" s="1" t="s">
        <v>27</v>
      </c>
      <c r="H483" s="1" t="s">
        <v>28</v>
      </c>
      <c r="I483" s="3">
        <v>41129.600902777776</v>
      </c>
      <c r="J483" s="1">
        <v>1</v>
      </c>
      <c r="K483" s="1">
        <v>0</v>
      </c>
    </row>
    <row r="484" spans="1:11" ht="21.75" customHeight="1">
      <c r="A484" s="2">
        <v>23</v>
      </c>
      <c r="B484" s="1" t="s">
        <v>37</v>
      </c>
      <c r="C484" s="1">
        <v>2012</v>
      </c>
      <c r="D484" s="1" t="s">
        <v>57</v>
      </c>
      <c r="E484" s="1">
        <v>1</v>
      </c>
      <c r="F484" s="1">
        <v>1</v>
      </c>
      <c r="G484" s="1" t="s">
        <v>27</v>
      </c>
      <c r="H484" s="1" t="s">
        <v>28</v>
      </c>
      <c r="I484" s="3">
        <v>41148.466631944444</v>
      </c>
      <c r="J484" s="1">
        <v>1</v>
      </c>
      <c r="K484" s="1">
        <v>0</v>
      </c>
    </row>
    <row r="485" spans="1:11" ht="21.75" customHeight="1">
      <c r="A485" s="2">
        <v>26</v>
      </c>
      <c r="B485" s="1" t="s">
        <v>37</v>
      </c>
      <c r="C485" s="1">
        <v>2012</v>
      </c>
      <c r="D485" s="1" t="s">
        <v>57</v>
      </c>
      <c r="E485" s="1">
        <v>3</v>
      </c>
      <c r="F485" s="1">
        <v>3</v>
      </c>
      <c r="G485" s="1" t="s">
        <v>27</v>
      </c>
      <c r="H485" s="1" t="s">
        <v>28</v>
      </c>
      <c r="I485" s="3">
        <v>41148.426516203705</v>
      </c>
      <c r="J485" s="1">
        <v>1</v>
      </c>
      <c r="K485" s="1">
        <v>0</v>
      </c>
    </row>
    <row r="486" spans="1:11" ht="21.75" customHeight="1">
      <c r="A486" s="2">
        <v>29</v>
      </c>
      <c r="B486" s="1" t="s">
        <v>38</v>
      </c>
      <c r="C486" s="1">
        <v>2012</v>
      </c>
      <c r="D486" s="1" t="s">
        <v>57</v>
      </c>
      <c r="E486" s="1">
        <v>5</v>
      </c>
      <c r="F486" s="1">
        <v>5</v>
      </c>
      <c r="G486" s="1" t="s">
        <v>27</v>
      </c>
      <c r="H486" s="1" t="s">
        <v>28</v>
      </c>
      <c r="I486" s="3">
        <v>41183.582858796297</v>
      </c>
      <c r="J486" s="1">
        <v>1</v>
      </c>
      <c r="K486" s="1">
        <v>0</v>
      </c>
    </row>
    <row r="487" spans="1:11" ht="21.75" customHeight="1">
      <c r="A487" s="2">
        <v>11</v>
      </c>
      <c r="B487" s="1" t="s">
        <v>43</v>
      </c>
      <c r="C487" s="1">
        <v>2012</v>
      </c>
      <c r="D487" s="1" t="s">
        <v>57</v>
      </c>
      <c r="E487" s="1">
        <v>2</v>
      </c>
      <c r="F487" s="1">
        <v>2</v>
      </c>
      <c r="G487" s="1" t="s">
        <v>27</v>
      </c>
      <c r="H487" s="1" t="s">
        <v>28</v>
      </c>
      <c r="I487" s="3">
        <v>41193.391319444447</v>
      </c>
      <c r="J487" s="1">
        <v>1</v>
      </c>
      <c r="K487" s="1">
        <v>0</v>
      </c>
    </row>
    <row r="488" spans="1:11" ht="21.75" customHeight="1">
      <c r="A488" s="2">
        <v>28</v>
      </c>
      <c r="B488" s="1" t="s">
        <v>45</v>
      </c>
      <c r="C488" s="1">
        <v>2012</v>
      </c>
      <c r="D488" s="1" t="s">
        <v>57</v>
      </c>
      <c r="E488" s="1">
        <v>13</v>
      </c>
      <c r="F488" s="1">
        <v>13</v>
      </c>
      <c r="G488" s="1" t="s">
        <v>27</v>
      </c>
      <c r="H488" s="1" t="s">
        <v>28</v>
      </c>
      <c r="I488" s="3">
        <v>41271.577893518515</v>
      </c>
      <c r="J488" s="1">
        <v>1</v>
      </c>
      <c r="K488" s="1">
        <v>0</v>
      </c>
    </row>
    <row r="489" spans="1:11" ht="21.75" customHeight="1">
      <c r="A489" s="2">
        <v>18</v>
      </c>
      <c r="B489" s="1" t="s">
        <v>45</v>
      </c>
      <c r="C489" s="1">
        <v>2012</v>
      </c>
      <c r="D489" s="1" t="s">
        <v>57</v>
      </c>
      <c r="E489" s="1">
        <v>2</v>
      </c>
      <c r="F489" s="1">
        <v>2</v>
      </c>
      <c r="G489" s="1" t="s">
        <v>27</v>
      </c>
      <c r="H489" s="1" t="s">
        <v>28</v>
      </c>
      <c r="I489" s="3">
        <v>41261.787789351853</v>
      </c>
      <c r="J489" s="1">
        <v>1</v>
      </c>
      <c r="K489" s="1">
        <v>0</v>
      </c>
    </row>
    <row r="490" spans="1:11" ht="21.75" customHeight="1">
      <c r="A490" s="2">
        <v>10</v>
      </c>
      <c r="B490" s="1" t="s">
        <v>25</v>
      </c>
      <c r="C490" s="1">
        <v>2012</v>
      </c>
      <c r="D490" s="1" t="s">
        <v>57</v>
      </c>
      <c r="E490" s="1">
        <v>1</v>
      </c>
      <c r="F490" s="1">
        <v>1</v>
      </c>
      <c r="G490" s="1" t="s">
        <v>27</v>
      </c>
      <c r="H490" s="1" t="s">
        <v>28</v>
      </c>
      <c r="I490" s="3">
        <v>40806.710578703707</v>
      </c>
      <c r="J490" s="1">
        <v>1</v>
      </c>
      <c r="K490" s="1">
        <v>0</v>
      </c>
    </row>
    <row r="491" spans="1:11" ht="21.75" customHeight="1">
      <c r="A491" s="2">
        <v>8</v>
      </c>
      <c r="B491" s="1" t="s">
        <v>25</v>
      </c>
      <c r="C491" s="1">
        <v>2012</v>
      </c>
      <c r="D491" s="1" t="s">
        <v>57</v>
      </c>
      <c r="E491" s="1">
        <v>4</v>
      </c>
      <c r="F491" s="1">
        <v>4</v>
      </c>
      <c r="G491" s="1" t="s">
        <v>27</v>
      </c>
      <c r="H491" s="1" t="s">
        <v>28</v>
      </c>
      <c r="I491" s="3">
        <v>40917.592060185183</v>
      </c>
      <c r="J491" s="1">
        <v>1</v>
      </c>
      <c r="K491" s="1">
        <v>0</v>
      </c>
    </row>
    <row r="492" spans="1:11" ht="21.75" customHeight="1">
      <c r="A492" s="2">
        <v>2</v>
      </c>
      <c r="B492" s="1" t="s">
        <v>41</v>
      </c>
      <c r="C492" s="1">
        <v>2012</v>
      </c>
      <c r="D492" s="1" t="s">
        <v>57</v>
      </c>
      <c r="E492" s="1">
        <v>2</v>
      </c>
      <c r="F492" s="1">
        <v>2</v>
      </c>
      <c r="G492" s="1" t="s">
        <v>27</v>
      </c>
      <c r="H492" s="1" t="s">
        <v>28</v>
      </c>
      <c r="I492" s="3">
        <v>40940.608101851853</v>
      </c>
      <c r="J492" s="1">
        <v>1</v>
      </c>
      <c r="K492" s="1">
        <v>0</v>
      </c>
    </row>
    <row r="493" spans="1:11" ht="21.75" customHeight="1">
      <c r="A493" s="2">
        <v>3</v>
      </c>
      <c r="B493" s="1" t="s">
        <v>32</v>
      </c>
      <c r="C493" s="1">
        <v>2012</v>
      </c>
      <c r="D493" s="1" t="s">
        <v>57</v>
      </c>
      <c r="E493" s="1">
        <v>5</v>
      </c>
      <c r="F493" s="1">
        <v>5</v>
      </c>
      <c r="G493" s="1" t="s">
        <v>27</v>
      </c>
      <c r="H493" s="1" t="s">
        <v>33</v>
      </c>
      <c r="I493" s="3">
        <v>41001.593425925923</v>
      </c>
      <c r="J493" s="1">
        <v>1</v>
      </c>
      <c r="K493" s="1">
        <v>0</v>
      </c>
    </row>
    <row r="494" spans="1:11" ht="21.75" customHeight="1">
      <c r="A494" s="2">
        <v>24</v>
      </c>
      <c r="B494" s="1" t="s">
        <v>35</v>
      </c>
      <c r="C494" s="1">
        <v>2012</v>
      </c>
      <c r="D494" s="1" t="s">
        <v>57</v>
      </c>
      <c r="E494" s="1">
        <v>5</v>
      </c>
      <c r="F494" s="1">
        <v>5</v>
      </c>
      <c r="G494" s="1" t="s">
        <v>27</v>
      </c>
      <c r="H494" s="1" t="s">
        <v>33</v>
      </c>
      <c r="I494" s="3">
        <v>41085.434270833335</v>
      </c>
      <c r="J494" s="1">
        <v>1</v>
      </c>
      <c r="K494" s="1">
        <v>0</v>
      </c>
    </row>
    <row r="495" spans="1:11" ht="21.75" customHeight="1">
      <c r="A495" s="2">
        <v>25</v>
      </c>
      <c r="B495" s="1" t="s">
        <v>37</v>
      </c>
      <c r="C495" s="1">
        <v>2012</v>
      </c>
      <c r="D495" s="1" t="s">
        <v>57</v>
      </c>
      <c r="E495" s="1">
        <v>2</v>
      </c>
      <c r="F495" s="1">
        <v>2</v>
      </c>
      <c r="G495" s="1" t="s">
        <v>27</v>
      </c>
      <c r="H495" s="1" t="s">
        <v>28</v>
      </c>
      <c r="I495" s="3">
        <v>41149.466331018521</v>
      </c>
      <c r="J495" s="1">
        <v>1</v>
      </c>
      <c r="K495" s="1">
        <v>0</v>
      </c>
    </row>
    <row r="496" spans="1:11" ht="21.75" customHeight="1">
      <c r="A496" s="2">
        <v>28</v>
      </c>
      <c r="B496" s="1" t="s">
        <v>45</v>
      </c>
      <c r="C496" s="1">
        <v>2012</v>
      </c>
      <c r="D496" s="1" t="s">
        <v>57</v>
      </c>
      <c r="E496" s="1">
        <v>10</v>
      </c>
      <c r="F496" s="1">
        <v>10</v>
      </c>
      <c r="G496" s="1" t="s">
        <v>27</v>
      </c>
      <c r="H496" s="1" t="s">
        <v>28</v>
      </c>
      <c r="I496" s="3">
        <v>41271.596886574072</v>
      </c>
      <c r="J496" s="1">
        <v>1</v>
      </c>
      <c r="K496" s="1">
        <v>0</v>
      </c>
    </row>
    <row r="497" spans="1:11" ht="21.75" customHeight="1">
      <c r="A497" s="2">
        <v>7</v>
      </c>
      <c r="B497" s="1" t="s">
        <v>25</v>
      </c>
      <c r="C497" s="1">
        <v>2012</v>
      </c>
      <c r="D497" s="1" t="s">
        <v>57</v>
      </c>
      <c r="E497" s="1">
        <v>5</v>
      </c>
      <c r="F497" s="1">
        <v>5</v>
      </c>
      <c r="G497" s="1" t="s">
        <v>27</v>
      </c>
      <c r="H497" s="1" t="s">
        <v>33</v>
      </c>
      <c r="I497" s="3">
        <v>40914.63784722222</v>
      </c>
      <c r="J497" s="1">
        <v>1</v>
      </c>
      <c r="K497" s="1">
        <v>0</v>
      </c>
    </row>
    <row r="498" spans="1:11" ht="21.75" customHeight="1">
      <c r="A498" s="2">
        <v>6</v>
      </c>
      <c r="B498" s="1" t="s">
        <v>43</v>
      </c>
      <c r="C498" s="1">
        <v>2012</v>
      </c>
      <c r="D498" s="1" t="s">
        <v>57</v>
      </c>
      <c r="E498" s="1">
        <v>1</v>
      </c>
      <c r="F498" s="1">
        <v>1</v>
      </c>
      <c r="G498" s="1" t="s">
        <v>27</v>
      </c>
      <c r="H498" s="1" t="s">
        <v>28</v>
      </c>
      <c r="I498" s="3">
        <v>41187.50341435185</v>
      </c>
      <c r="J498" s="1">
        <v>1</v>
      </c>
      <c r="K498" s="1">
        <v>0</v>
      </c>
    </row>
    <row r="499" spans="1:11" ht="21.75" customHeight="1">
      <c r="A499" s="2">
        <v>19</v>
      </c>
      <c r="B499" s="1" t="s">
        <v>43</v>
      </c>
      <c r="C499" s="1">
        <v>2012</v>
      </c>
      <c r="D499" s="1" t="s">
        <v>57</v>
      </c>
      <c r="E499" s="1">
        <v>2</v>
      </c>
      <c r="F499" s="1">
        <v>2</v>
      </c>
      <c r="G499" s="1" t="s">
        <v>27</v>
      </c>
      <c r="H499" s="1" t="s">
        <v>33</v>
      </c>
      <c r="I499" s="3">
        <v>41206.404907407406</v>
      </c>
      <c r="J499" s="1">
        <v>1</v>
      </c>
      <c r="K499" s="1">
        <v>0</v>
      </c>
    </row>
    <row r="500" spans="1:11" ht="21.75" customHeight="1">
      <c r="A500" s="2">
        <v>28</v>
      </c>
      <c r="B500" s="1" t="s">
        <v>36</v>
      </c>
      <c r="C500" s="1">
        <v>2012</v>
      </c>
      <c r="D500" s="1" t="s">
        <v>57</v>
      </c>
      <c r="E500" s="1">
        <v>1</v>
      </c>
      <c r="F500" s="1">
        <v>1</v>
      </c>
      <c r="G500" s="1" t="s">
        <v>27</v>
      </c>
      <c r="H500" s="1" t="s">
        <v>33</v>
      </c>
      <c r="I500" s="3">
        <v>41127.429178240738</v>
      </c>
      <c r="J500" s="1">
        <v>1</v>
      </c>
      <c r="K500" s="1">
        <v>0</v>
      </c>
    </row>
    <row r="501" spans="1:11" ht="21.75" customHeight="1">
      <c r="A501" s="2">
        <v>18</v>
      </c>
      <c r="B501" s="1" t="s">
        <v>43</v>
      </c>
      <c r="C501" s="1">
        <v>2012</v>
      </c>
      <c r="D501" s="1" t="s">
        <v>57</v>
      </c>
      <c r="E501" s="1">
        <v>2</v>
      </c>
      <c r="F501" s="1">
        <v>2</v>
      </c>
      <c r="G501" s="1" t="s">
        <v>27</v>
      </c>
      <c r="H501" s="1" t="s">
        <v>28</v>
      </c>
      <c r="I501" s="3">
        <v>41200.691261574073</v>
      </c>
      <c r="J501" s="1">
        <v>1</v>
      </c>
      <c r="K501" s="1">
        <v>0</v>
      </c>
    </row>
    <row r="502" spans="1:11" ht="21.75" customHeight="1">
      <c r="A502" s="2">
        <v>10</v>
      </c>
      <c r="B502" s="1" t="s">
        <v>32</v>
      </c>
      <c r="C502" s="1">
        <v>2012</v>
      </c>
      <c r="D502" s="1" t="s">
        <v>57</v>
      </c>
      <c r="E502" s="1">
        <v>2</v>
      </c>
      <c r="F502" s="1">
        <v>2</v>
      </c>
      <c r="G502" s="1" t="s">
        <v>27</v>
      </c>
      <c r="H502" s="1" t="s">
        <v>33</v>
      </c>
      <c r="I502" s="3">
        <v>41010.662349537037</v>
      </c>
      <c r="J502" s="1">
        <v>1</v>
      </c>
      <c r="K502" s="1">
        <v>0</v>
      </c>
    </row>
    <row r="503" spans="1:11" ht="21.75" customHeight="1">
      <c r="A503" s="2">
        <v>25</v>
      </c>
      <c r="B503" s="1" t="s">
        <v>34</v>
      </c>
      <c r="C503" s="1">
        <v>2012</v>
      </c>
      <c r="D503" s="1" t="s">
        <v>57</v>
      </c>
      <c r="E503" s="1">
        <v>2</v>
      </c>
      <c r="F503" s="1">
        <v>2</v>
      </c>
      <c r="G503" s="1" t="s">
        <v>27</v>
      </c>
      <c r="H503" s="1" t="s">
        <v>28</v>
      </c>
      <c r="I503" s="3">
        <v>41053.491435185184</v>
      </c>
      <c r="J503" s="1">
        <v>1</v>
      </c>
      <c r="K503" s="1">
        <v>0</v>
      </c>
    </row>
    <row r="504" spans="1:11" ht="21.75" customHeight="1">
      <c r="A504" s="2">
        <v>32</v>
      </c>
      <c r="B504" s="1" t="s">
        <v>36</v>
      </c>
      <c r="C504" s="1">
        <v>2012</v>
      </c>
      <c r="D504" s="1" t="s">
        <v>57</v>
      </c>
      <c r="E504" s="1">
        <v>1</v>
      </c>
      <c r="F504" s="1">
        <v>1</v>
      </c>
      <c r="G504" s="1" t="s">
        <v>27</v>
      </c>
      <c r="H504" s="1" t="s">
        <v>28</v>
      </c>
      <c r="I504" s="3">
        <v>41127.422407407408</v>
      </c>
      <c r="J504" s="1">
        <v>1</v>
      </c>
      <c r="K504" s="1">
        <v>0</v>
      </c>
    </row>
    <row r="505" spans="1:11" ht="21.75" customHeight="1">
      <c r="A505" s="2">
        <v>28</v>
      </c>
      <c r="B505" s="1" t="s">
        <v>45</v>
      </c>
      <c r="C505" s="1">
        <v>2012</v>
      </c>
      <c r="D505" s="1" t="s">
        <v>57</v>
      </c>
      <c r="E505" s="1">
        <v>7</v>
      </c>
      <c r="F505" s="1">
        <v>7</v>
      </c>
      <c r="G505" s="1" t="s">
        <v>27</v>
      </c>
      <c r="H505" s="1" t="s">
        <v>28</v>
      </c>
      <c r="I505" s="3">
        <v>41271.577893518515</v>
      </c>
      <c r="J505" s="1">
        <v>0</v>
      </c>
      <c r="K505" s="1">
        <v>2</v>
      </c>
    </row>
    <row r="506" spans="1:11" ht="21.75" customHeight="1">
      <c r="A506" s="2">
        <v>9</v>
      </c>
      <c r="B506" s="1" t="s">
        <v>41</v>
      </c>
      <c r="C506" s="1">
        <v>2012</v>
      </c>
      <c r="D506" s="1" t="s">
        <v>58</v>
      </c>
      <c r="E506" s="1">
        <v>1</v>
      </c>
      <c r="F506" s="1">
        <v>1</v>
      </c>
      <c r="G506" s="1" t="s">
        <v>27</v>
      </c>
      <c r="H506" s="1" t="s">
        <v>28</v>
      </c>
      <c r="I506" s="3">
        <v>40948.471412037034</v>
      </c>
      <c r="J506" s="1">
        <v>1</v>
      </c>
      <c r="K506" s="1">
        <v>0</v>
      </c>
    </row>
    <row r="507" spans="1:11" ht="21.75" customHeight="1">
      <c r="A507" s="2">
        <v>11</v>
      </c>
      <c r="B507" s="1" t="s">
        <v>31</v>
      </c>
      <c r="C507" s="1">
        <v>2012</v>
      </c>
      <c r="D507" s="1" t="s">
        <v>58</v>
      </c>
      <c r="E507" s="1">
        <v>1</v>
      </c>
      <c r="F507" s="1">
        <v>1</v>
      </c>
      <c r="G507" s="1" t="s">
        <v>27</v>
      </c>
      <c r="H507" s="1" t="s">
        <v>28</v>
      </c>
      <c r="I507" s="3">
        <v>40978.617407407408</v>
      </c>
      <c r="J507" s="1">
        <v>1</v>
      </c>
      <c r="K507" s="1">
        <v>0</v>
      </c>
    </row>
    <row r="508" spans="1:11" ht="21.75" customHeight="1">
      <c r="A508" s="2">
        <v>28</v>
      </c>
      <c r="B508" s="1" t="s">
        <v>31</v>
      </c>
      <c r="C508" s="1">
        <v>2012</v>
      </c>
      <c r="D508" s="1" t="s">
        <v>58</v>
      </c>
      <c r="E508" s="1">
        <v>3</v>
      </c>
      <c r="F508" s="1">
        <v>3</v>
      </c>
      <c r="G508" s="1" t="s">
        <v>27</v>
      </c>
      <c r="H508" s="1" t="s">
        <v>28</v>
      </c>
      <c r="I508" s="3">
        <v>40996.474027777775</v>
      </c>
      <c r="J508" s="1">
        <v>1</v>
      </c>
      <c r="K508" s="1">
        <v>0</v>
      </c>
    </row>
    <row r="509" spans="1:11" ht="21.75" customHeight="1">
      <c r="A509" s="2">
        <v>12</v>
      </c>
      <c r="B509" s="1" t="s">
        <v>32</v>
      </c>
      <c r="C509" s="1">
        <v>2012</v>
      </c>
      <c r="D509" s="1" t="s">
        <v>58</v>
      </c>
      <c r="E509" s="1">
        <v>1</v>
      </c>
      <c r="F509" s="1">
        <v>1</v>
      </c>
      <c r="G509" s="1" t="s">
        <v>27</v>
      </c>
      <c r="H509" s="1" t="s">
        <v>28</v>
      </c>
      <c r="I509" s="3">
        <v>41010.716898148145</v>
      </c>
      <c r="J509" s="1">
        <v>1</v>
      </c>
      <c r="K509" s="1">
        <v>0</v>
      </c>
    </row>
    <row r="510" spans="1:11" ht="21.75" customHeight="1">
      <c r="A510" s="2">
        <v>30</v>
      </c>
      <c r="B510" s="1" t="s">
        <v>32</v>
      </c>
      <c r="C510" s="1">
        <v>2012</v>
      </c>
      <c r="D510" s="1" t="s">
        <v>58</v>
      </c>
      <c r="E510" s="1">
        <v>1</v>
      </c>
      <c r="F510" s="1">
        <v>1</v>
      </c>
      <c r="G510" s="1" t="s">
        <v>27</v>
      </c>
      <c r="H510" s="1" t="s">
        <v>28</v>
      </c>
      <c r="I510" s="3">
        <v>41029.449374999997</v>
      </c>
      <c r="J510" s="1">
        <v>1</v>
      </c>
      <c r="K510" s="1">
        <v>0</v>
      </c>
    </row>
    <row r="511" spans="1:11" ht="21.75" customHeight="1">
      <c r="A511" s="2">
        <v>17</v>
      </c>
      <c r="B511" s="1" t="s">
        <v>34</v>
      </c>
      <c r="C511" s="1">
        <v>2012</v>
      </c>
      <c r="D511" s="1" t="s">
        <v>58</v>
      </c>
      <c r="E511" s="1">
        <v>1</v>
      </c>
      <c r="F511" s="1">
        <v>1</v>
      </c>
      <c r="G511" s="1" t="s">
        <v>27</v>
      </c>
      <c r="H511" s="1" t="s">
        <v>33</v>
      </c>
      <c r="I511" s="3">
        <v>41045.47111111111</v>
      </c>
      <c r="J511" s="1">
        <v>1</v>
      </c>
      <c r="K511" s="1">
        <v>0</v>
      </c>
    </row>
    <row r="512" spans="1:11" ht="21.75" customHeight="1">
      <c r="A512" s="2">
        <v>29</v>
      </c>
      <c r="B512" s="1" t="s">
        <v>34</v>
      </c>
      <c r="C512" s="1">
        <v>2012</v>
      </c>
      <c r="D512" s="1" t="s">
        <v>58</v>
      </c>
      <c r="E512" s="1">
        <v>3</v>
      </c>
      <c r="F512" s="1">
        <v>3</v>
      </c>
      <c r="G512" s="1" t="s">
        <v>27</v>
      </c>
      <c r="H512" s="1" t="s">
        <v>28</v>
      </c>
      <c r="I512" s="3">
        <v>41059.390763888892</v>
      </c>
      <c r="J512" s="1">
        <v>1</v>
      </c>
      <c r="K512" s="1">
        <v>0</v>
      </c>
    </row>
    <row r="513" spans="1:11" ht="21.75" customHeight="1">
      <c r="A513" s="2">
        <v>7</v>
      </c>
      <c r="B513" s="1" t="s">
        <v>35</v>
      </c>
      <c r="C513" s="1">
        <v>2012</v>
      </c>
      <c r="D513" s="1" t="s">
        <v>58</v>
      </c>
      <c r="E513" s="1">
        <v>1</v>
      </c>
      <c r="F513" s="1">
        <v>1</v>
      </c>
      <c r="G513" s="1" t="s">
        <v>27</v>
      </c>
      <c r="H513" s="1" t="s">
        <v>28</v>
      </c>
      <c r="I513" s="3">
        <v>41068.635567129626</v>
      </c>
      <c r="J513" s="1">
        <v>1</v>
      </c>
      <c r="K513" s="1">
        <v>0</v>
      </c>
    </row>
    <row r="514" spans="1:11" ht="21.75" customHeight="1">
      <c r="A514" s="2">
        <v>15</v>
      </c>
      <c r="B514" s="1" t="s">
        <v>36</v>
      </c>
      <c r="C514" s="1">
        <v>2012</v>
      </c>
      <c r="D514" s="1" t="s">
        <v>58</v>
      </c>
      <c r="E514" s="1">
        <v>2</v>
      </c>
      <c r="F514" s="1">
        <v>2</v>
      </c>
      <c r="G514" s="1" t="s">
        <v>27</v>
      </c>
      <c r="H514" s="1" t="s">
        <v>33</v>
      </c>
      <c r="I514" s="3">
        <v>41106.348506944443</v>
      </c>
      <c r="J514" s="1">
        <v>1</v>
      </c>
      <c r="K514" s="1">
        <v>0</v>
      </c>
    </row>
    <row r="515" spans="1:11" ht="21.75" customHeight="1">
      <c r="A515" s="2">
        <v>28</v>
      </c>
      <c r="B515" s="1" t="s">
        <v>36</v>
      </c>
      <c r="C515" s="1">
        <v>2012</v>
      </c>
      <c r="D515" s="1" t="s">
        <v>58</v>
      </c>
      <c r="E515" s="1">
        <v>2</v>
      </c>
      <c r="F515" s="1">
        <v>2</v>
      </c>
      <c r="G515" s="1" t="s">
        <v>27</v>
      </c>
      <c r="H515" s="1" t="s">
        <v>28</v>
      </c>
      <c r="I515" s="3">
        <v>41117.624710648146</v>
      </c>
      <c r="J515" s="1">
        <v>1</v>
      </c>
      <c r="K515" s="1">
        <v>0</v>
      </c>
    </row>
    <row r="516" spans="1:11" ht="21.75" customHeight="1">
      <c r="A516" s="2">
        <v>26</v>
      </c>
      <c r="B516" s="1" t="s">
        <v>37</v>
      </c>
      <c r="C516" s="1">
        <v>2012</v>
      </c>
      <c r="D516" s="1" t="s">
        <v>58</v>
      </c>
      <c r="E516" s="1">
        <v>1</v>
      </c>
      <c r="F516" s="1">
        <v>1</v>
      </c>
      <c r="G516" s="1" t="s">
        <v>27</v>
      </c>
      <c r="H516" s="1" t="s">
        <v>28</v>
      </c>
      <c r="I516" s="3">
        <v>41148.62709490741</v>
      </c>
      <c r="J516" s="1">
        <v>1</v>
      </c>
      <c r="K516" s="1">
        <v>0</v>
      </c>
    </row>
    <row r="517" spans="1:11" ht="21.75" customHeight="1">
      <c r="A517" s="2">
        <v>28</v>
      </c>
      <c r="B517" s="1" t="s">
        <v>37</v>
      </c>
      <c r="C517" s="1">
        <v>2012</v>
      </c>
      <c r="D517" s="1" t="s">
        <v>58</v>
      </c>
      <c r="E517" s="1">
        <v>1</v>
      </c>
      <c r="F517" s="1">
        <v>1</v>
      </c>
      <c r="G517" s="1" t="s">
        <v>27</v>
      </c>
      <c r="H517" s="1" t="s">
        <v>28</v>
      </c>
      <c r="I517" s="3">
        <v>41149.482893518521</v>
      </c>
      <c r="J517" s="1">
        <v>1</v>
      </c>
      <c r="K517" s="1">
        <v>0</v>
      </c>
    </row>
    <row r="518" spans="1:11" ht="21.75" customHeight="1">
      <c r="A518" s="2">
        <v>23</v>
      </c>
      <c r="B518" s="1" t="s">
        <v>43</v>
      </c>
      <c r="C518" s="1">
        <v>2012</v>
      </c>
      <c r="D518" s="1" t="s">
        <v>58</v>
      </c>
      <c r="E518" s="1">
        <v>1</v>
      </c>
      <c r="F518" s="1">
        <v>1</v>
      </c>
      <c r="G518" s="1" t="s">
        <v>27</v>
      </c>
      <c r="H518" s="1" t="s">
        <v>28</v>
      </c>
      <c r="I518" s="3">
        <v>41205.534756944442</v>
      </c>
      <c r="J518" s="1">
        <v>1</v>
      </c>
      <c r="K518" s="1">
        <v>0</v>
      </c>
    </row>
    <row r="519" spans="1:11" ht="21.75" customHeight="1">
      <c r="A519" s="2">
        <v>32</v>
      </c>
      <c r="B519" s="1" t="s">
        <v>43</v>
      </c>
      <c r="C519" s="1">
        <v>2012</v>
      </c>
      <c r="D519" s="1" t="s">
        <v>58</v>
      </c>
      <c r="E519" s="1">
        <v>1</v>
      </c>
      <c r="F519" s="1">
        <v>1</v>
      </c>
      <c r="G519" s="1" t="s">
        <v>27</v>
      </c>
      <c r="H519" s="1" t="s">
        <v>28</v>
      </c>
      <c r="I519" s="3">
        <v>41213.639641203707</v>
      </c>
      <c r="J519" s="1">
        <v>1</v>
      </c>
      <c r="K519" s="1">
        <v>0</v>
      </c>
    </row>
    <row r="520" spans="1:11" ht="21.75" customHeight="1">
      <c r="A520" s="2">
        <v>25</v>
      </c>
      <c r="B520" s="1" t="s">
        <v>44</v>
      </c>
      <c r="C520" s="1">
        <v>2012</v>
      </c>
      <c r="D520" s="1" t="s">
        <v>58</v>
      </c>
      <c r="E520" s="1">
        <v>3</v>
      </c>
      <c r="F520" s="1">
        <v>3</v>
      </c>
      <c r="G520" s="1" t="s">
        <v>27</v>
      </c>
      <c r="H520" s="1" t="s">
        <v>28</v>
      </c>
      <c r="I520" s="3">
        <v>41239.758622685185</v>
      </c>
      <c r="J520" s="1">
        <v>1</v>
      </c>
      <c r="K520" s="1">
        <v>0</v>
      </c>
    </row>
    <row r="521" spans="1:11" ht="21.75" customHeight="1">
      <c r="A521" s="2">
        <v>2</v>
      </c>
      <c r="B521" s="1" t="s">
        <v>44</v>
      </c>
      <c r="C521" s="1">
        <v>2012</v>
      </c>
      <c r="D521" s="1" t="s">
        <v>58</v>
      </c>
      <c r="E521" s="1">
        <v>1</v>
      </c>
      <c r="F521" s="1">
        <v>1</v>
      </c>
      <c r="G521" s="1" t="s">
        <v>27</v>
      </c>
      <c r="H521" s="1" t="s">
        <v>28</v>
      </c>
      <c r="I521" s="3">
        <v>41214.66679398148</v>
      </c>
      <c r="J521" s="1">
        <v>1</v>
      </c>
      <c r="K521" s="1">
        <v>0</v>
      </c>
    </row>
    <row r="522" spans="1:11" ht="21.75" customHeight="1">
      <c r="A522" s="2">
        <v>27</v>
      </c>
      <c r="B522" s="1" t="s">
        <v>25</v>
      </c>
      <c r="C522" s="1">
        <v>2012</v>
      </c>
      <c r="D522" s="1" t="s">
        <v>58</v>
      </c>
      <c r="E522" s="1">
        <v>2</v>
      </c>
      <c r="F522" s="1">
        <v>2</v>
      </c>
      <c r="G522" s="1" t="s">
        <v>27</v>
      </c>
      <c r="H522" s="1" t="s">
        <v>33</v>
      </c>
      <c r="I522" s="3">
        <v>40934.59983796296</v>
      </c>
      <c r="J522" s="1">
        <v>1</v>
      </c>
      <c r="K522" s="1">
        <v>0</v>
      </c>
    </row>
    <row r="523" spans="1:11" ht="21.75" customHeight="1">
      <c r="A523" s="2">
        <v>3</v>
      </c>
      <c r="B523" s="1" t="s">
        <v>41</v>
      </c>
      <c r="C523" s="1">
        <v>2012</v>
      </c>
      <c r="D523" s="1" t="s">
        <v>58</v>
      </c>
      <c r="E523" s="1">
        <v>1</v>
      </c>
      <c r="F523" s="1">
        <v>1</v>
      </c>
      <c r="G523" s="1" t="s">
        <v>27</v>
      </c>
      <c r="H523" s="1" t="s">
        <v>28</v>
      </c>
      <c r="I523" s="3">
        <v>40941.681018518517</v>
      </c>
      <c r="J523" s="1">
        <v>1</v>
      </c>
      <c r="K523" s="1">
        <v>0</v>
      </c>
    </row>
    <row r="524" spans="1:11" ht="21.75" customHeight="1">
      <c r="A524" s="2">
        <v>5</v>
      </c>
      <c r="B524" s="1" t="s">
        <v>41</v>
      </c>
      <c r="C524" s="1">
        <v>2012</v>
      </c>
      <c r="D524" s="1" t="s">
        <v>58</v>
      </c>
      <c r="E524" s="1">
        <v>1</v>
      </c>
      <c r="F524" s="1">
        <v>1</v>
      </c>
      <c r="G524" s="1" t="s">
        <v>27</v>
      </c>
      <c r="H524" s="1" t="s">
        <v>33</v>
      </c>
      <c r="I524" s="3">
        <v>40946.449872685182</v>
      </c>
      <c r="J524" s="1">
        <v>1</v>
      </c>
      <c r="K524" s="1">
        <v>0</v>
      </c>
    </row>
    <row r="525" spans="1:11" ht="21.75" customHeight="1">
      <c r="A525" s="2">
        <v>18</v>
      </c>
      <c r="B525" s="1" t="s">
        <v>41</v>
      </c>
      <c r="C525" s="1">
        <v>2012</v>
      </c>
      <c r="D525" s="1" t="s">
        <v>58</v>
      </c>
      <c r="E525" s="1">
        <v>1</v>
      </c>
      <c r="F525" s="1">
        <v>1</v>
      </c>
      <c r="G525" s="1" t="s">
        <v>27</v>
      </c>
      <c r="H525" s="1" t="s">
        <v>28</v>
      </c>
      <c r="I525" s="3">
        <v>40956.648414351854</v>
      </c>
      <c r="J525" s="1">
        <v>1</v>
      </c>
      <c r="K525" s="1">
        <v>0</v>
      </c>
    </row>
    <row r="526" spans="1:11" ht="21.75" customHeight="1">
      <c r="A526" s="2">
        <v>4</v>
      </c>
      <c r="B526" s="1" t="s">
        <v>31</v>
      </c>
      <c r="C526" s="1">
        <v>2012</v>
      </c>
      <c r="D526" s="1" t="s">
        <v>58</v>
      </c>
      <c r="E526" s="1">
        <v>1</v>
      </c>
      <c r="F526" s="1">
        <v>1</v>
      </c>
      <c r="G526" s="1" t="s">
        <v>27</v>
      </c>
      <c r="H526" s="1" t="s">
        <v>28</v>
      </c>
      <c r="I526" s="3">
        <v>40973.459814814814</v>
      </c>
      <c r="J526" s="1">
        <v>1</v>
      </c>
      <c r="K526" s="1">
        <v>0</v>
      </c>
    </row>
    <row r="527" spans="1:11" ht="21.75" customHeight="1">
      <c r="A527" s="2">
        <v>7</v>
      </c>
      <c r="B527" s="1" t="s">
        <v>31</v>
      </c>
      <c r="C527" s="1">
        <v>2012</v>
      </c>
      <c r="D527" s="1" t="s">
        <v>58</v>
      </c>
      <c r="E527" s="1">
        <v>1</v>
      </c>
      <c r="F527" s="1">
        <v>1</v>
      </c>
      <c r="G527" s="1" t="s">
        <v>27</v>
      </c>
      <c r="H527" s="1" t="s">
        <v>28</v>
      </c>
      <c r="I527" s="3">
        <v>40975.435879629629</v>
      </c>
      <c r="J527" s="1">
        <v>1</v>
      </c>
      <c r="K527" s="1">
        <v>0</v>
      </c>
    </row>
    <row r="528" spans="1:11" ht="21.75" customHeight="1">
      <c r="A528" s="2">
        <v>23</v>
      </c>
      <c r="B528" s="1" t="s">
        <v>31</v>
      </c>
      <c r="C528" s="1">
        <v>2012</v>
      </c>
      <c r="D528" s="1" t="s">
        <v>58</v>
      </c>
      <c r="E528" s="1">
        <v>2</v>
      </c>
      <c r="F528" s="1">
        <v>2</v>
      </c>
      <c r="G528" s="1" t="s">
        <v>27</v>
      </c>
      <c r="H528" s="1" t="s">
        <v>28</v>
      </c>
      <c r="I528" s="3">
        <v>40990.528402777774</v>
      </c>
      <c r="J528" s="1">
        <v>1</v>
      </c>
      <c r="K528" s="1">
        <v>0</v>
      </c>
    </row>
    <row r="529" spans="1:11" ht="21.75" customHeight="1">
      <c r="A529" s="2">
        <v>24</v>
      </c>
      <c r="B529" s="1" t="s">
        <v>31</v>
      </c>
      <c r="C529" s="1">
        <v>2012</v>
      </c>
      <c r="D529" s="1" t="s">
        <v>58</v>
      </c>
      <c r="E529" s="1">
        <v>1</v>
      </c>
      <c r="F529" s="1">
        <v>1</v>
      </c>
      <c r="G529" s="1" t="s">
        <v>27</v>
      </c>
      <c r="H529" s="1" t="s">
        <v>28</v>
      </c>
      <c r="I529" s="3">
        <v>40992.441840277781</v>
      </c>
      <c r="J529" s="1">
        <v>1</v>
      </c>
      <c r="K529" s="1">
        <v>0</v>
      </c>
    </row>
    <row r="530" spans="1:11" ht="21.75" customHeight="1">
      <c r="A530" s="2">
        <v>32</v>
      </c>
      <c r="B530" s="1" t="s">
        <v>31</v>
      </c>
      <c r="C530" s="1">
        <v>2012</v>
      </c>
      <c r="D530" s="1" t="s">
        <v>58</v>
      </c>
      <c r="E530" s="1">
        <v>1</v>
      </c>
      <c r="F530" s="1">
        <v>1</v>
      </c>
      <c r="G530" s="1" t="s">
        <v>27</v>
      </c>
      <c r="H530" s="1" t="s">
        <v>28</v>
      </c>
      <c r="I530" s="3">
        <v>41001.438923611109</v>
      </c>
      <c r="J530" s="1">
        <v>1</v>
      </c>
      <c r="K530" s="1">
        <v>0</v>
      </c>
    </row>
    <row r="531" spans="1:11" ht="21.75" customHeight="1">
      <c r="A531" s="2">
        <v>6</v>
      </c>
      <c r="B531" s="1" t="s">
        <v>32</v>
      </c>
      <c r="C531" s="1">
        <v>2012</v>
      </c>
      <c r="D531" s="1" t="s">
        <v>58</v>
      </c>
      <c r="E531" s="1">
        <v>3</v>
      </c>
      <c r="F531" s="1">
        <v>3</v>
      </c>
      <c r="G531" s="1" t="s">
        <v>27</v>
      </c>
      <c r="H531" s="1" t="s">
        <v>33</v>
      </c>
      <c r="I531" s="3">
        <v>41010.485810185186</v>
      </c>
      <c r="J531" s="1">
        <v>1</v>
      </c>
      <c r="K531" s="1">
        <v>0</v>
      </c>
    </row>
    <row r="532" spans="1:11" ht="21.75" customHeight="1">
      <c r="A532" s="2">
        <v>19</v>
      </c>
      <c r="B532" s="1" t="s">
        <v>32</v>
      </c>
      <c r="C532" s="1">
        <v>2012</v>
      </c>
      <c r="D532" s="1" t="s">
        <v>58</v>
      </c>
      <c r="E532" s="1">
        <v>1</v>
      </c>
      <c r="F532" s="1">
        <v>1</v>
      </c>
      <c r="G532" s="1" t="s">
        <v>27</v>
      </c>
      <c r="H532" s="1" t="s">
        <v>33</v>
      </c>
      <c r="I532" s="3">
        <v>41018.605127314811</v>
      </c>
      <c r="J532" s="1">
        <v>1</v>
      </c>
      <c r="K532" s="1">
        <v>0</v>
      </c>
    </row>
    <row r="533" spans="1:11" ht="21.75" customHeight="1">
      <c r="A533" s="2">
        <v>18</v>
      </c>
      <c r="B533" s="1" t="s">
        <v>34</v>
      </c>
      <c r="C533" s="1">
        <v>2012</v>
      </c>
      <c r="D533" s="1" t="s">
        <v>58</v>
      </c>
      <c r="E533" s="1">
        <v>2</v>
      </c>
      <c r="F533" s="1">
        <v>2</v>
      </c>
      <c r="G533" s="1" t="s">
        <v>27</v>
      </c>
      <c r="H533" s="1" t="s">
        <v>33</v>
      </c>
      <c r="I533" s="3">
        <v>41046.634351851855</v>
      </c>
      <c r="J533" s="1">
        <v>1</v>
      </c>
      <c r="K533" s="1">
        <v>0</v>
      </c>
    </row>
    <row r="534" spans="1:11" ht="21.75" customHeight="1">
      <c r="A534" s="2">
        <v>13</v>
      </c>
      <c r="B534" s="1" t="s">
        <v>35</v>
      </c>
      <c r="C534" s="1">
        <v>2012</v>
      </c>
      <c r="D534" s="1" t="s">
        <v>58</v>
      </c>
      <c r="E534" s="1">
        <v>1</v>
      </c>
      <c r="F534" s="1">
        <v>1</v>
      </c>
      <c r="G534" s="1" t="s">
        <v>27</v>
      </c>
      <c r="H534" s="1" t="s">
        <v>28</v>
      </c>
      <c r="I534" s="3">
        <v>41072.619675925926</v>
      </c>
      <c r="J534" s="1">
        <v>1</v>
      </c>
      <c r="K534" s="1">
        <v>0</v>
      </c>
    </row>
    <row r="535" spans="1:11" ht="21.75" customHeight="1">
      <c r="A535" s="2">
        <v>4</v>
      </c>
      <c r="B535" s="1" t="s">
        <v>37</v>
      </c>
      <c r="C535" s="1">
        <v>2012</v>
      </c>
      <c r="D535" s="1" t="s">
        <v>58</v>
      </c>
      <c r="E535" s="1">
        <v>1</v>
      </c>
      <c r="F535" s="1">
        <v>1</v>
      </c>
      <c r="G535" s="1" t="s">
        <v>27</v>
      </c>
      <c r="H535" s="1" t="s">
        <v>28</v>
      </c>
      <c r="I535" s="3">
        <v>41124.77008101852</v>
      </c>
      <c r="J535" s="1">
        <v>1</v>
      </c>
      <c r="K535" s="1">
        <v>0</v>
      </c>
    </row>
    <row r="536" spans="1:11" ht="21.75" customHeight="1">
      <c r="A536" s="2">
        <v>7</v>
      </c>
      <c r="B536" s="1" t="s">
        <v>38</v>
      </c>
      <c r="C536" s="1">
        <v>2012</v>
      </c>
      <c r="D536" s="1" t="s">
        <v>58</v>
      </c>
      <c r="E536" s="1">
        <v>1</v>
      </c>
      <c r="F536" s="1">
        <v>1</v>
      </c>
      <c r="G536" s="1" t="s">
        <v>27</v>
      </c>
      <c r="H536" s="1" t="s">
        <v>28</v>
      </c>
      <c r="I536" s="3">
        <v>41164.592152777775</v>
      </c>
      <c r="J536" s="1">
        <v>1</v>
      </c>
      <c r="K536" s="1">
        <v>0</v>
      </c>
    </row>
    <row r="537" spans="1:11" ht="21.75" customHeight="1">
      <c r="A537" s="2">
        <v>19</v>
      </c>
      <c r="B537" s="1" t="s">
        <v>38</v>
      </c>
      <c r="C537" s="1">
        <v>2012</v>
      </c>
      <c r="D537" s="1" t="s">
        <v>58</v>
      </c>
      <c r="E537" s="1">
        <v>2</v>
      </c>
      <c r="F537" s="1">
        <v>2</v>
      </c>
      <c r="G537" s="1" t="s">
        <v>27</v>
      </c>
      <c r="H537" s="1" t="s">
        <v>28</v>
      </c>
      <c r="I537" s="3">
        <v>41170.483831018515</v>
      </c>
      <c r="J537" s="1">
        <v>1</v>
      </c>
      <c r="K537" s="1">
        <v>0</v>
      </c>
    </row>
    <row r="538" spans="1:11" ht="21.75" customHeight="1">
      <c r="A538" s="2">
        <v>21</v>
      </c>
      <c r="B538" s="1" t="s">
        <v>38</v>
      </c>
      <c r="C538" s="1">
        <v>2012</v>
      </c>
      <c r="D538" s="1" t="s">
        <v>58</v>
      </c>
      <c r="E538" s="1">
        <v>2</v>
      </c>
      <c r="F538" s="1">
        <v>2</v>
      </c>
      <c r="G538" s="1" t="s">
        <v>27</v>
      </c>
      <c r="H538" s="1" t="s">
        <v>28</v>
      </c>
      <c r="I538" s="3">
        <v>41172.728518518517</v>
      </c>
      <c r="J538" s="1">
        <v>1</v>
      </c>
      <c r="K538" s="1">
        <v>0</v>
      </c>
    </row>
    <row r="539" spans="1:11" ht="21.75" customHeight="1">
      <c r="A539" s="2">
        <v>9</v>
      </c>
      <c r="B539" s="1" t="s">
        <v>44</v>
      </c>
      <c r="C539" s="1">
        <v>2012</v>
      </c>
      <c r="D539" s="1" t="s">
        <v>58</v>
      </c>
      <c r="E539" s="1">
        <v>1</v>
      </c>
      <c r="F539" s="1">
        <v>1</v>
      </c>
      <c r="G539" s="1" t="s">
        <v>27</v>
      </c>
      <c r="H539" s="1" t="s">
        <v>28</v>
      </c>
      <c r="I539" s="3">
        <v>41222.389201388891</v>
      </c>
      <c r="J539" s="1">
        <v>1</v>
      </c>
      <c r="K539" s="1">
        <v>0</v>
      </c>
    </row>
    <row r="540" spans="1:11" ht="21.75" customHeight="1">
      <c r="A540" s="2">
        <v>16</v>
      </c>
      <c r="B540" s="1" t="s">
        <v>44</v>
      </c>
      <c r="C540" s="1">
        <v>2012</v>
      </c>
      <c r="D540" s="1" t="s">
        <v>58</v>
      </c>
      <c r="E540" s="1">
        <v>1</v>
      </c>
      <c r="F540" s="1">
        <v>1</v>
      </c>
      <c r="G540" s="1" t="s">
        <v>27</v>
      </c>
      <c r="H540" s="1" t="s">
        <v>28</v>
      </c>
      <c r="I540" s="3">
        <v>41229.409826388888</v>
      </c>
      <c r="J540" s="1">
        <v>1</v>
      </c>
      <c r="K540" s="1">
        <v>0</v>
      </c>
    </row>
    <row r="541" spans="1:11" ht="21.75" customHeight="1">
      <c r="A541" s="2">
        <v>21</v>
      </c>
      <c r="B541" s="1" t="s">
        <v>41</v>
      </c>
      <c r="C541" s="1">
        <v>2012</v>
      </c>
      <c r="D541" s="1" t="s">
        <v>58</v>
      </c>
      <c r="E541" s="1">
        <v>1</v>
      </c>
      <c r="F541" s="1">
        <v>1</v>
      </c>
      <c r="G541" s="1" t="s">
        <v>27</v>
      </c>
      <c r="H541" s="1" t="s">
        <v>33</v>
      </c>
      <c r="I541" s="3">
        <v>40961.62537037037</v>
      </c>
      <c r="J541" s="1">
        <v>1</v>
      </c>
      <c r="K541" s="1">
        <v>0</v>
      </c>
    </row>
    <row r="542" spans="1:11" ht="21.75" customHeight="1">
      <c r="A542" s="2">
        <v>4</v>
      </c>
      <c r="B542" s="1" t="s">
        <v>31</v>
      </c>
      <c r="C542" s="1">
        <v>2012</v>
      </c>
      <c r="D542" s="1" t="s">
        <v>58</v>
      </c>
      <c r="E542" s="1">
        <v>2</v>
      </c>
      <c r="F542" s="1">
        <v>2</v>
      </c>
      <c r="G542" s="1" t="s">
        <v>27</v>
      </c>
      <c r="H542" s="1" t="s">
        <v>28</v>
      </c>
      <c r="I542" s="3">
        <v>40973.60359953704</v>
      </c>
      <c r="J542" s="1">
        <v>1</v>
      </c>
      <c r="K542" s="1">
        <v>0</v>
      </c>
    </row>
    <row r="543" spans="1:11" ht="21.75" customHeight="1">
      <c r="A543" s="2">
        <v>28</v>
      </c>
      <c r="B543" s="1" t="s">
        <v>32</v>
      </c>
      <c r="C543" s="1">
        <v>2012</v>
      </c>
      <c r="D543" s="1" t="s">
        <v>58</v>
      </c>
      <c r="E543" s="1">
        <v>2</v>
      </c>
      <c r="F543" s="1">
        <v>2</v>
      </c>
      <c r="G543" s="1" t="s">
        <v>27</v>
      </c>
      <c r="H543" s="1" t="s">
        <v>33</v>
      </c>
      <c r="I543" s="3">
        <v>41026.61273148148</v>
      </c>
      <c r="J543" s="1">
        <v>1</v>
      </c>
      <c r="K543" s="1">
        <v>0</v>
      </c>
    </row>
    <row r="544" spans="1:11" ht="21.75" customHeight="1">
      <c r="A544" s="2">
        <v>22</v>
      </c>
      <c r="B544" s="1" t="s">
        <v>35</v>
      </c>
      <c r="C544" s="1">
        <v>2012</v>
      </c>
      <c r="D544" s="1" t="s">
        <v>58</v>
      </c>
      <c r="E544" s="1">
        <v>2</v>
      </c>
      <c r="F544" s="1">
        <v>2</v>
      </c>
      <c r="G544" s="1" t="s">
        <v>27</v>
      </c>
      <c r="H544" s="1" t="s">
        <v>33</v>
      </c>
      <c r="I544" s="3">
        <v>41082.437430555554</v>
      </c>
      <c r="J544" s="1">
        <v>1</v>
      </c>
      <c r="K544" s="1">
        <v>0</v>
      </c>
    </row>
    <row r="545" spans="1:11" ht="21.75" customHeight="1">
      <c r="A545" s="2">
        <v>22</v>
      </c>
      <c r="B545" s="1" t="s">
        <v>36</v>
      </c>
      <c r="C545" s="1">
        <v>2012</v>
      </c>
      <c r="D545" s="1" t="s">
        <v>58</v>
      </c>
      <c r="E545" s="1">
        <v>2</v>
      </c>
      <c r="F545" s="1">
        <v>2</v>
      </c>
      <c r="G545" s="1" t="s">
        <v>27</v>
      </c>
      <c r="H545" s="1" t="s">
        <v>28</v>
      </c>
      <c r="I545" s="3">
        <v>41114.503425925926</v>
      </c>
      <c r="J545" s="1">
        <v>1</v>
      </c>
      <c r="K545" s="1">
        <v>0</v>
      </c>
    </row>
    <row r="546" spans="1:11" ht="21.75" customHeight="1">
      <c r="A546" s="2">
        <v>24</v>
      </c>
      <c r="B546" s="1" t="s">
        <v>37</v>
      </c>
      <c r="C546" s="1">
        <v>2012</v>
      </c>
      <c r="D546" s="1" t="s">
        <v>58</v>
      </c>
      <c r="E546" s="1">
        <v>5</v>
      </c>
      <c r="F546" s="1">
        <v>5</v>
      </c>
      <c r="G546" s="1" t="s">
        <v>27</v>
      </c>
      <c r="H546" s="1" t="s">
        <v>28</v>
      </c>
      <c r="I546" s="3">
        <v>41148.450972222221</v>
      </c>
      <c r="J546" s="1">
        <v>1</v>
      </c>
      <c r="K546" s="1">
        <v>0</v>
      </c>
    </row>
    <row r="547" spans="1:11" ht="21.75" customHeight="1">
      <c r="A547" s="2">
        <v>10</v>
      </c>
      <c r="B547" s="1" t="s">
        <v>38</v>
      </c>
      <c r="C547" s="1">
        <v>2012</v>
      </c>
      <c r="D547" s="1" t="s">
        <v>58</v>
      </c>
      <c r="E547" s="1">
        <v>2</v>
      </c>
      <c r="F547" s="1">
        <v>2</v>
      </c>
      <c r="G547" s="1" t="s">
        <v>27</v>
      </c>
      <c r="H547" s="1" t="s">
        <v>28</v>
      </c>
      <c r="I547" s="3">
        <v>41162.721932870372</v>
      </c>
      <c r="J547" s="1">
        <v>1</v>
      </c>
      <c r="K547" s="1">
        <v>0</v>
      </c>
    </row>
    <row r="548" spans="1:11" ht="21.75" customHeight="1">
      <c r="A548" s="2">
        <v>5</v>
      </c>
      <c r="B548" s="1" t="s">
        <v>43</v>
      </c>
      <c r="C548" s="1">
        <v>2012</v>
      </c>
      <c r="D548" s="1" t="s">
        <v>58</v>
      </c>
      <c r="E548" s="1">
        <v>1</v>
      </c>
      <c r="F548" s="1">
        <v>1</v>
      </c>
      <c r="G548" s="1" t="s">
        <v>27</v>
      </c>
      <c r="H548" s="1" t="s">
        <v>28</v>
      </c>
      <c r="I548" s="3">
        <v>41187.667905092596</v>
      </c>
      <c r="J548" s="1">
        <v>1</v>
      </c>
      <c r="K548" s="1">
        <v>0</v>
      </c>
    </row>
    <row r="549" spans="1:11" ht="21.75" customHeight="1">
      <c r="A549" s="2">
        <v>13</v>
      </c>
      <c r="B549" s="1" t="s">
        <v>43</v>
      </c>
      <c r="C549" s="1">
        <v>2012</v>
      </c>
      <c r="D549" s="1" t="s">
        <v>58</v>
      </c>
      <c r="E549" s="1">
        <v>3</v>
      </c>
      <c r="F549" s="1">
        <v>3</v>
      </c>
      <c r="G549" s="1" t="s">
        <v>27</v>
      </c>
      <c r="H549" s="1" t="s">
        <v>28</v>
      </c>
      <c r="I549" s="3">
        <v>41197.63208333333</v>
      </c>
      <c r="J549" s="1">
        <v>1</v>
      </c>
      <c r="K549" s="1">
        <v>0</v>
      </c>
    </row>
    <row r="550" spans="1:11" ht="21.75" customHeight="1">
      <c r="A550" s="2">
        <v>30</v>
      </c>
      <c r="B550" s="1" t="s">
        <v>44</v>
      </c>
      <c r="C550" s="1">
        <v>2012</v>
      </c>
      <c r="D550" s="1" t="s">
        <v>58</v>
      </c>
      <c r="E550" s="1">
        <v>2</v>
      </c>
      <c r="F550" s="1">
        <v>2</v>
      </c>
      <c r="G550" s="1" t="s">
        <v>27</v>
      </c>
      <c r="H550" s="1" t="s">
        <v>28</v>
      </c>
      <c r="I550" s="3">
        <v>41243.468287037038</v>
      </c>
      <c r="J550" s="1">
        <v>1</v>
      </c>
      <c r="K550" s="1">
        <v>0</v>
      </c>
    </row>
    <row r="551" spans="1:11" ht="21.75" customHeight="1">
      <c r="A551" s="2">
        <v>21</v>
      </c>
      <c r="B551" s="1" t="s">
        <v>45</v>
      </c>
      <c r="C551" s="1">
        <v>2012</v>
      </c>
      <c r="D551" s="1" t="s">
        <v>58</v>
      </c>
      <c r="E551" s="1">
        <v>1</v>
      </c>
      <c r="F551" s="1">
        <v>1</v>
      </c>
      <c r="G551" s="1" t="s">
        <v>27</v>
      </c>
      <c r="H551" s="1" t="s">
        <v>28</v>
      </c>
      <c r="I551" s="3">
        <v>41264.664270833331</v>
      </c>
      <c r="J551" s="1">
        <v>1</v>
      </c>
      <c r="K551" s="1">
        <v>0</v>
      </c>
    </row>
    <row r="552" spans="1:11" ht="21.75" customHeight="1">
      <c r="A552" s="2">
        <v>10</v>
      </c>
      <c r="B552" s="1" t="s">
        <v>25</v>
      </c>
      <c r="C552" s="1">
        <v>2012</v>
      </c>
      <c r="D552" s="1" t="s">
        <v>58</v>
      </c>
      <c r="E552" s="1">
        <v>3</v>
      </c>
      <c r="F552" s="1">
        <v>3</v>
      </c>
      <c r="G552" s="1" t="s">
        <v>27</v>
      </c>
      <c r="H552" s="1" t="s">
        <v>33</v>
      </c>
      <c r="I552" s="3">
        <v>40917.638599537036</v>
      </c>
      <c r="J552" s="1">
        <v>1</v>
      </c>
      <c r="K552" s="1">
        <v>0</v>
      </c>
    </row>
    <row r="553" spans="1:11" ht="21.75" customHeight="1">
      <c r="A553" s="2">
        <v>16</v>
      </c>
      <c r="B553" s="1" t="s">
        <v>41</v>
      </c>
      <c r="C553" s="1">
        <v>2012</v>
      </c>
      <c r="D553" s="1" t="s">
        <v>58</v>
      </c>
      <c r="E553" s="1">
        <v>1</v>
      </c>
      <c r="F553" s="1">
        <v>1</v>
      </c>
      <c r="G553" s="1" t="s">
        <v>27</v>
      </c>
      <c r="H553" s="1" t="s">
        <v>28</v>
      </c>
      <c r="I553" s="3">
        <v>40955.485879629632</v>
      </c>
      <c r="J553" s="1">
        <v>1</v>
      </c>
      <c r="K553" s="1">
        <v>0</v>
      </c>
    </row>
    <row r="554" spans="1:11" ht="21.75" customHeight="1">
      <c r="A554" s="2">
        <v>25</v>
      </c>
      <c r="B554" s="1" t="s">
        <v>41</v>
      </c>
      <c r="C554" s="1">
        <v>2012</v>
      </c>
      <c r="D554" s="1" t="s">
        <v>58</v>
      </c>
      <c r="E554" s="1">
        <v>1</v>
      </c>
      <c r="F554" s="1">
        <v>1</v>
      </c>
      <c r="G554" s="1" t="s">
        <v>27</v>
      </c>
      <c r="H554" s="1" t="s">
        <v>28</v>
      </c>
      <c r="I554" s="3">
        <v>40963.633599537039</v>
      </c>
      <c r="J554" s="1">
        <v>1</v>
      </c>
      <c r="K554" s="1">
        <v>0</v>
      </c>
    </row>
    <row r="555" spans="1:11" ht="21.75" customHeight="1">
      <c r="A555" s="2">
        <v>9</v>
      </c>
      <c r="B555" s="1" t="s">
        <v>34</v>
      </c>
      <c r="C555" s="1">
        <v>2012</v>
      </c>
      <c r="D555" s="1" t="s">
        <v>58</v>
      </c>
      <c r="E555" s="1">
        <v>2</v>
      </c>
      <c r="F555" s="1">
        <v>2</v>
      </c>
      <c r="G555" s="1" t="s">
        <v>27</v>
      </c>
      <c r="H555" s="1" t="s">
        <v>28</v>
      </c>
      <c r="I555" s="3">
        <v>41038.3203125</v>
      </c>
      <c r="J555" s="1">
        <v>1</v>
      </c>
      <c r="K555" s="1">
        <v>0</v>
      </c>
    </row>
    <row r="556" spans="1:11" ht="21.75" customHeight="1">
      <c r="A556" s="2">
        <v>15</v>
      </c>
      <c r="B556" s="1" t="s">
        <v>35</v>
      </c>
      <c r="C556" s="1">
        <v>2012</v>
      </c>
      <c r="D556" s="1" t="s">
        <v>58</v>
      </c>
      <c r="E556" s="1">
        <v>10</v>
      </c>
      <c r="F556" s="1">
        <v>10</v>
      </c>
      <c r="G556" s="1" t="s">
        <v>27</v>
      </c>
      <c r="H556" s="1" t="s">
        <v>28</v>
      </c>
      <c r="I556" s="3">
        <v>41078.605543981481</v>
      </c>
      <c r="J556" s="1">
        <v>1</v>
      </c>
      <c r="K556" s="1">
        <v>0</v>
      </c>
    </row>
    <row r="557" spans="1:11" ht="21.75" customHeight="1">
      <c r="A557" s="2">
        <v>7</v>
      </c>
      <c r="B557" s="1" t="s">
        <v>37</v>
      </c>
      <c r="C557" s="1">
        <v>2012</v>
      </c>
      <c r="D557" s="1" t="s">
        <v>58</v>
      </c>
      <c r="E557" s="1">
        <v>1</v>
      </c>
      <c r="F557" s="1">
        <v>1</v>
      </c>
      <c r="G557" s="1" t="s">
        <v>27</v>
      </c>
      <c r="H557" s="1" t="s">
        <v>28</v>
      </c>
      <c r="I557" s="3">
        <v>41130.426990740743</v>
      </c>
      <c r="J557" s="1">
        <v>1</v>
      </c>
      <c r="K557" s="1">
        <v>0</v>
      </c>
    </row>
    <row r="558" spans="1:11" ht="21.75" customHeight="1">
      <c r="A558" s="2">
        <v>8</v>
      </c>
      <c r="B558" s="1" t="s">
        <v>37</v>
      </c>
      <c r="C558" s="1">
        <v>2012</v>
      </c>
      <c r="D558" s="1" t="s">
        <v>58</v>
      </c>
      <c r="E558" s="1">
        <v>1</v>
      </c>
      <c r="F558" s="1">
        <v>1</v>
      </c>
      <c r="G558" s="1" t="s">
        <v>27</v>
      </c>
      <c r="H558" s="1" t="s">
        <v>28</v>
      </c>
      <c r="I558" s="3">
        <v>41129.600902777776</v>
      </c>
      <c r="J558" s="1">
        <v>1</v>
      </c>
      <c r="K558" s="1">
        <v>0</v>
      </c>
    </row>
    <row r="559" spans="1:11" ht="21.75" customHeight="1">
      <c r="A559" s="2">
        <v>26</v>
      </c>
      <c r="B559" s="1" t="s">
        <v>37</v>
      </c>
      <c r="C559" s="1">
        <v>2012</v>
      </c>
      <c r="D559" s="1" t="s">
        <v>58</v>
      </c>
      <c r="E559" s="1">
        <v>2</v>
      </c>
      <c r="F559" s="1">
        <v>2</v>
      </c>
      <c r="G559" s="1" t="s">
        <v>27</v>
      </c>
      <c r="H559" s="1" t="s">
        <v>28</v>
      </c>
      <c r="I559" s="3">
        <v>41148.426516203705</v>
      </c>
      <c r="J559" s="1">
        <v>1</v>
      </c>
      <c r="K559" s="1">
        <v>0</v>
      </c>
    </row>
    <row r="560" spans="1:11" ht="21.75" customHeight="1">
      <c r="A560" s="2">
        <v>11</v>
      </c>
      <c r="B560" s="1" t="s">
        <v>43</v>
      </c>
      <c r="C560" s="1">
        <v>2012</v>
      </c>
      <c r="D560" s="1" t="s">
        <v>58</v>
      </c>
      <c r="E560" s="1">
        <v>2</v>
      </c>
      <c r="F560" s="1">
        <v>2</v>
      </c>
      <c r="G560" s="1" t="s">
        <v>27</v>
      </c>
      <c r="H560" s="1" t="s">
        <v>28</v>
      </c>
      <c r="I560" s="3">
        <v>41193.391319444447</v>
      </c>
      <c r="J560" s="1">
        <v>1</v>
      </c>
      <c r="K560" s="1">
        <v>0</v>
      </c>
    </row>
    <row r="561" spans="1:11" ht="21.75" customHeight="1">
      <c r="A561" s="2">
        <v>8</v>
      </c>
      <c r="B561" s="1" t="s">
        <v>25</v>
      </c>
      <c r="C561" s="1">
        <v>2012</v>
      </c>
      <c r="D561" s="1" t="s">
        <v>58</v>
      </c>
      <c r="E561" s="1">
        <v>4</v>
      </c>
      <c r="F561" s="1">
        <v>4</v>
      </c>
      <c r="G561" s="1" t="s">
        <v>27</v>
      </c>
      <c r="H561" s="1" t="s">
        <v>28</v>
      </c>
      <c r="I561" s="3">
        <v>40917.592060185183</v>
      </c>
      <c r="J561" s="1">
        <v>1</v>
      </c>
      <c r="K561" s="1">
        <v>0</v>
      </c>
    </row>
    <row r="562" spans="1:11" ht="21.75" customHeight="1">
      <c r="A562" s="2">
        <v>2</v>
      </c>
      <c r="B562" s="1" t="s">
        <v>41</v>
      </c>
      <c r="C562" s="1">
        <v>2012</v>
      </c>
      <c r="D562" s="1" t="s">
        <v>58</v>
      </c>
      <c r="E562" s="1">
        <v>2</v>
      </c>
      <c r="F562" s="1">
        <v>2</v>
      </c>
      <c r="G562" s="1" t="s">
        <v>27</v>
      </c>
      <c r="H562" s="1" t="s">
        <v>28</v>
      </c>
      <c r="I562" s="3">
        <v>40940.608101851853</v>
      </c>
      <c r="J562" s="1">
        <v>1</v>
      </c>
      <c r="K562" s="1">
        <v>0</v>
      </c>
    </row>
    <row r="563" spans="1:11" ht="21.75" customHeight="1">
      <c r="A563" s="2">
        <v>10</v>
      </c>
      <c r="B563" s="1" t="s">
        <v>31</v>
      </c>
      <c r="C563" s="1">
        <v>2012</v>
      </c>
      <c r="D563" s="1" t="s">
        <v>58</v>
      </c>
      <c r="E563" s="1">
        <v>2</v>
      </c>
      <c r="F563" s="1">
        <v>2</v>
      </c>
      <c r="G563" s="1" t="s">
        <v>27</v>
      </c>
      <c r="H563" s="1" t="s">
        <v>28</v>
      </c>
      <c r="I563" s="3">
        <v>40977.668749999997</v>
      </c>
      <c r="J563" s="1">
        <v>1</v>
      </c>
      <c r="K563" s="1">
        <v>0</v>
      </c>
    </row>
    <row r="564" spans="1:11" ht="21.75" customHeight="1">
      <c r="A564" s="2">
        <v>24</v>
      </c>
      <c r="B564" s="1" t="s">
        <v>35</v>
      </c>
      <c r="C564" s="1">
        <v>2012</v>
      </c>
      <c r="D564" s="1" t="s">
        <v>58</v>
      </c>
      <c r="E564" s="1">
        <v>5</v>
      </c>
      <c r="F564" s="1">
        <v>5</v>
      </c>
      <c r="G564" s="1" t="s">
        <v>27</v>
      </c>
      <c r="H564" s="1" t="s">
        <v>33</v>
      </c>
      <c r="I564" s="3">
        <v>41085.434270833335</v>
      </c>
      <c r="J564" s="1">
        <v>1</v>
      </c>
      <c r="K564" s="1">
        <v>0</v>
      </c>
    </row>
    <row r="565" spans="1:11" ht="21.75" customHeight="1">
      <c r="A565" s="2">
        <v>23</v>
      </c>
      <c r="B565" s="1" t="s">
        <v>37</v>
      </c>
      <c r="C565" s="1">
        <v>2012</v>
      </c>
      <c r="D565" s="1" t="s">
        <v>58</v>
      </c>
      <c r="E565" s="1">
        <v>1</v>
      </c>
      <c r="F565" s="1">
        <v>1</v>
      </c>
      <c r="G565" s="1" t="s">
        <v>27</v>
      </c>
      <c r="H565" s="1" t="s">
        <v>28</v>
      </c>
      <c r="I565" s="3">
        <v>41148.472453703704</v>
      </c>
      <c r="J565" s="1">
        <v>1</v>
      </c>
      <c r="K565" s="1">
        <v>0</v>
      </c>
    </row>
    <row r="566" spans="1:11" ht="21.75" customHeight="1">
      <c r="A566" s="2">
        <v>23</v>
      </c>
      <c r="B566" s="1" t="s">
        <v>37</v>
      </c>
      <c r="C566" s="1">
        <v>2012</v>
      </c>
      <c r="D566" s="1" t="s">
        <v>58</v>
      </c>
      <c r="E566" s="1">
        <v>1</v>
      </c>
      <c r="F566" s="1">
        <v>1</v>
      </c>
      <c r="G566" s="1" t="s">
        <v>27</v>
      </c>
      <c r="H566" s="1" t="s">
        <v>28</v>
      </c>
      <c r="I566" s="3">
        <v>41148.467870370368</v>
      </c>
      <c r="J566" s="1">
        <v>1</v>
      </c>
      <c r="K566" s="1">
        <v>0</v>
      </c>
    </row>
    <row r="567" spans="1:11" ht="21.75" customHeight="1">
      <c r="A567" s="2">
        <v>24</v>
      </c>
      <c r="B567" s="1" t="s">
        <v>37</v>
      </c>
      <c r="C567" s="1">
        <v>2012</v>
      </c>
      <c r="D567" s="1" t="s">
        <v>58</v>
      </c>
      <c r="E567" s="1">
        <v>1</v>
      </c>
      <c r="F567" s="1">
        <v>1</v>
      </c>
      <c r="G567" s="1" t="s">
        <v>27</v>
      </c>
      <c r="H567" s="1" t="s">
        <v>33</v>
      </c>
      <c r="I567" s="3">
        <v>41148.454884259256</v>
      </c>
      <c r="J567" s="1">
        <v>1</v>
      </c>
      <c r="K567" s="1">
        <v>0</v>
      </c>
    </row>
    <row r="568" spans="1:11" ht="21.75" customHeight="1">
      <c r="A568" s="2">
        <v>4</v>
      </c>
      <c r="B568" s="1" t="s">
        <v>43</v>
      </c>
      <c r="C568" s="1">
        <v>2012</v>
      </c>
      <c r="D568" s="1" t="s">
        <v>58</v>
      </c>
      <c r="E568" s="1">
        <v>2</v>
      </c>
      <c r="F568" s="1">
        <v>2</v>
      </c>
      <c r="G568" s="1" t="s">
        <v>27</v>
      </c>
      <c r="H568" s="1" t="s">
        <v>28</v>
      </c>
      <c r="I568" s="3">
        <v>41191.615428240744</v>
      </c>
      <c r="J568" s="1">
        <v>1</v>
      </c>
      <c r="K568" s="1">
        <v>0</v>
      </c>
    </row>
    <row r="569" spans="1:11" ht="21.75" customHeight="1">
      <c r="A569" s="2">
        <v>28</v>
      </c>
      <c r="B569" s="1" t="s">
        <v>36</v>
      </c>
      <c r="C569" s="1">
        <v>2012</v>
      </c>
      <c r="D569" s="1" t="s">
        <v>58</v>
      </c>
      <c r="E569" s="1">
        <v>1</v>
      </c>
      <c r="F569" s="1">
        <v>1</v>
      </c>
      <c r="G569" s="1" t="s">
        <v>27</v>
      </c>
      <c r="H569" s="1" t="s">
        <v>33</v>
      </c>
      <c r="I569" s="3">
        <v>41127.429178240738</v>
      </c>
      <c r="J569" s="1">
        <v>1</v>
      </c>
      <c r="K569" s="1">
        <v>0</v>
      </c>
    </row>
    <row r="570" spans="1:11" ht="21.75" customHeight="1">
      <c r="A570" s="2">
        <v>25</v>
      </c>
      <c r="B570" s="1" t="s">
        <v>37</v>
      </c>
      <c r="C570" s="1">
        <v>2012</v>
      </c>
      <c r="D570" s="1" t="s">
        <v>58</v>
      </c>
      <c r="E570" s="1">
        <v>1</v>
      </c>
      <c r="F570" s="1">
        <v>1</v>
      </c>
      <c r="G570" s="1" t="s">
        <v>27</v>
      </c>
      <c r="H570" s="1" t="s">
        <v>28</v>
      </c>
      <c r="I570" s="3">
        <v>41149.466331018521</v>
      </c>
      <c r="J570" s="1">
        <v>1</v>
      </c>
      <c r="K570" s="1">
        <v>0</v>
      </c>
    </row>
    <row r="571" spans="1:11" ht="21.75" customHeight="1">
      <c r="A571" s="2">
        <v>10</v>
      </c>
      <c r="B571" s="1" t="s">
        <v>25</v>
      </c>
      <c r="C571" s="1">
        <v>2012</v>
      </c>
      <c r="D571" s="1" t="s">
        <v>58</v>
      </c>
      <c r="E571" s="1">
        <v>1</v>
      </c>
      <c r="F571" s="1">
        <v>1</v>
      </c>
      <c r="G571" s="1" t="s">
        <v>27</v>
      </c>
      <c r="H571" s="1" t="s">
        <v>28</v>
      </c>
      <c r="I571" s="3">
        <v>40806.710578703707</v>
      </c>
      <c r="J571" s="1">
        <v>1</v>
      </c>
      <c r="K571" s="1">
        <v>0</v>
      </c>
    </row>
    <row r="572" spans="1:11" ht="21.75" customHeight="1">
      <c r="A572" s="2">
        <v>18</v>
      </c>
      <c r="B572" s="1" t="s">
        <v>43</v>
      </c>
      <c r="C572" s="1">
        <v>2012</v>
      </c>
      <c r="D572" s="1" t="s">
        <v>58</v>
      </c>
      <c r="E572" s="1">
        <v>2</v>
      </c>
      <c r="F572" s="1">
        <v>2</v>
      </c>
      <c r="G572" s="1" t="s">
        <v>27</v>
      </c>
      <c r="H572" s="1" t="s">
        <v>28</v>
      </c>
      <c r="I572" s="3">
        <v>41200.691261574073</v>
      </c>
      <c r="J572" s="1">
        <v>1</v>
      </c>
      <c r="K572" s="1">
        <v>0</v>
      </c>
    </row>
    <row r="573" spans="1:11" ht="21.75" customHeight="1">
      <c r="A573" s="2">
        <v>15</v>
      </c>
      <c r="B573" s="1" t="s">
        <v>25</v>
      </c>
      <c r="C573" s="1">
        <v>2012</v>
      </c>
      <c r="D573" s="1" t="s">
        <v>59</v>
      </c>
      <c r="E573" s="1">
        <v>1</v>
      </c>
      <c r="F573" s="1">
        <v>1</v>
      </c>
      <c r="G573" s="1" t="s">
        <v>27</v>
      </c>
      <c r="H573" s="1" t="s">
        <v>28</v>
      </c>
      <c r="I573" s="3">
        <v>40923.361226851855</v>
      </c>
      <c r="J573" s="1">
        <v>1</v>
      </c>
      <c r="K573" s="1">
        <v>0</v>
      </c>
    </row>
    <row r="574" spans="1:11" ht="21.75" customHeight="1">
      <c r="A574" s="2">
        <v>28</v>
      </c>
      <c r="B574" s="1" t="s">
        <v>25</v>
      </c>
      <c r="C574" s="1">
        <v>2012</v>
      </c>
      <c r="D574" s="1" t="s">
        <v>59</v>
      </c>
      <c r="E574" s="1">
        <v>1</v>
      </c>
      <c r="F574" s="1">
        <v>1</v>
      </c>
      <c r="G574" s="1" t="s">
        <v>27</v>
      </c>
      <c r="H574" s="1" t="s">
        <v>28</v>
      </c>
      <c r="I574" s="3">
        <v>40935.612662037034</v>
      </c>
      <c r="J574" s="1">
        <v>1</v>
      </c>
      <c r="K574" s="1">
        <v>0</v>
      </c>
    </row>
    <row r="575" spans="1:11" ht="21.75" customHeight="1">
      <c r="A575" s="2">
        <v>3</v>
      </c>
      <c r="B575" s="1" t="s">
        <v>41</v>
      </c>
      <c r="C575" s="1">
        <v>2012</v>
      </c>
      <c r="D575" s="1" t="s">
        <v>59</v>
      </c>
      <c r="E575" s="1">
        <v>1</v>
      </c>
      <c r="F575" s="1">
        <v>1</v>
      </c>
      <c r="G575" s="1" t="s">
        <v>27</v>
      </c>
      <c r="H575" s="1" t="s">
        <v>28</v>
      </c>
      <c r="I575" s="3">
        <v>40941.681354166663</v>
      </c>
      <c r="J575" s="1">
        <v>1</v>
      </c>
      <c r="K575" s="1">
        <v>0</v>
      </c>
    </row>
    <row r="576" spans="1:11" ht="21.75" customHeight="1">
      <c r="A576" s="2">
        <v>10</v>
      </c>
      <c r="B576" s="1" t="s">
        <v>41</v>
      </c>
      <c r="C576" s="1">
        <v>2012</v>
      </c>
      <c r="D576" s="1" t="s">
        <v>59</v>
      </c>
      <c r="E576" s="1">
        <v>1</v>
      </c>
      <c r="F576" s="1">
        <v>1</v>
      </c>
      <c r="G576" s="1" t="s">
        <v>27</v>
      </c>
      <c r="H576" s="1" t="s">
        <v>28</v>
      </c>
      <c r="I576" s="3">
        <v>40948.640462962961</v>
      </c>
      <c r="J576" s="1">
        <v>1</v>
      </c>
      <c r="K576" s="1">
        <v>0</v>
      </c>
    </row>
    <row r="577" spans="1:11" ht="21.75" customHeight="1">
      <c r="A577" s="2">
        <v>11</v>
      </c>
      <c r="B577" s="1" t="s">
        <v>41</v>
      </c>
      <c r="C577" s="1">
        <v>2012</v>
      </c>
      <c r="D577" s="1" t="s">
        <v>59</v>
      </c>
      <c r="E577" s="1">
        <v>2</v>
      </c>
      <c r="F577" s="1">
        <v>2</v>
      </c>
      <c r="G577" s="1" t="s">
        <v>27</v>
      </c>
      <c r="H577" s="1" t="s">
        <v>28</v>
      </c>
      <c r="I577" s="3">
        <v>40950.366273148145</v>
      </c>
      <c r="J577" s="1">
        <v>1</v>
      </c>
      <c r="K577" s="1">
        <v>0</v>
      </c>
    </row>
    <row r="578" spans="1:11" ht="21.75" customHeight="1">
      <c r="A578" s="2">
        <v>13</v>
      </c>
      <c r="B578" s="1" t="s">
        <v>31</v>
      </c>
      <c r="C578" s="1">
        <v>2012</v>
      </c>
      <c r="D578" s="1" t="s">
        <v>59</v>
      </c>
      <c r="E578" s="1">
        <v>1</v>
      </c>
      <c r="F578" s="1">
        <v>1</v>
      </c>
      <c r="G578" s="1" t="s">
        <v>27</v>
      </c>
      <c r="H578" s="1" t="s">
        <v>28</v>
      </c>
      <c r="I578" s="3">
        <v>40981.455995370372</v>
      </c>
      <c r="J578" s="1">
        <v>1</v>
      </c>
      <c r="K578" s="1">
        <v>0</v>
      </c>
    </row>
    <row r="579" spans="1:11" ht="21.75" customHeight="1">
      <c r="A579" s="2">
        <v>31</v>
      </c>
      <c r="B579" s="1" t="s">
        <v>31</v>
      </c>
      <c r="C579" s="1">
        <v>2012</v>
      </c>
      <c r="D579" s="1" t="s">
        <v>59</v>
      </c>
      <c r="E579" s="1">
        <v>1</v>
      </c>
      <c r="F579" s="1">
        <v>1</v>
      </c>
      <c r="G579" s="1" t="s">
        <v>27</v>
      </c>
      <c r="H579" s="1" t="s">
        <v>28</v>
      </c>
      <c r="I579" s="3">
        <v>40999.402731481481</v>
      </c>
      <c r="J579" s="1">
        <v>1</v>
      </c>
      <c r="K579" s="1">
        <v>0</v>
      </c>
    </row>
    <row r="580" spans="1:11" ht="21.75" customHeight="1">
      <c r="A580" s="2">
        <v>31</v>
      </c>
      <c r="B580" s="1" t="s">
        <v>31</v>
      </c>
      <c r="C580" s="1">
        <v>2012</v>
      </c>
      <c r="D580" s="1" t="s">
        <v>59</v>
      </c>
      <c r="E580" s="1">
        <v>1</v>
      </c>
      <c r="F580" s="1">
        <v>1</v>
      </c>
      <c r="G580" s="1" t="s">
        <v>27</v>
      </c>
      <c r="H580" s="1" t="s">
        <v>28</v>
      </c>
      <c r="I580" s="3">
        <v>40999.530833333331</v>
      </c>
      <c r="J580" s="1">
        <v>1</v>
      </c>
      <c r="K580" s="1">
        <v>0</v>
      </c>
    </row>
    <row r="581" spans="1:11" ht="21.75" customHeight="1">
      <c r="A581" s="2">
        <v>8</v>
      </c>
      <c r="B581" s="1" t="s">
        <v>32</v>
      </c>
      <c r="C581" s="1">
        <v>2012</v>
      </c>
      <c r="D581" s="1" t="s">
        <v>59</v>
      </c>
      <c r="E581" s="1">
        <v>5</v>
      </c>
      <c r="F581" s="1">
        <v>5</v>
      </c>
      <c r="G581" s="1" t="s">
        <v>27</v>
      </c>
      <c r="H581" s="1" t="s">
        <v>28</v>
      </c>
      <c r="I581" s="3">
        <v>41010.407337962963</v>
      </c>
      <c r="J581" s="1">
        <v>1</v>
      </c>
      <c r="K581" s="1">
        <v>0</v>
      </c>
    </row>
    <row r="582" spans="1:11" ht="21.75" customHeight="1">
      <c r="A582" s="2">
        <v>14</v>
      </c>
      <c r="B582" s="1" t="s">
        <v>32</v>
      </c>
      <c r="C582" s="1">
        <v>2012</v>
      </c>
      <c r="D582" s="1" t="s">
        <v>59</v>
      </c>
      <c r="E582" s="1">
        <v>1</v>
      </c>
      <c r="F582" s="1">
        <v>1</v>
      </c>
      <c r="G582" s="1" t="s">
        <v>27</v>
      </c>
      <c r="H582" s="1" t="s">
        <v>28</v>
      </c>
      <c r="I582" s="3">
        <v>41013.397453703707</v>
      </c>
      <c r="J582" s="1">
        <v>1</v>
      </c>
      <c r="K582" s="1">
        <v>0</v>
      </c>
    </row>
    <row r="583" spans="1:11" ht="21.75" customHeight="1">
      <c r="A583" s="2">
        <v>30</v>
      </c>
      <c r="B583" s="1" t="s">
        <v>32</v>
      </c>
      <c r="C583" s="1">
        <v>2012</v>
      </c>
      <c r="D583" s="1" t="s">
        <v>59</v>
      </c>
      <c r="E583" s="1">
        <v>1</v>
      </c>
      <c r="F583" s="1">
        <v>1</v>
      </c>
      <c r="G583" s="1" t="s">
        <v>27</v>
      </c>
      <c r="H583" s="1" t="s">
        <v>28</v>
      </c>
      <c r="I583" s="3">
        <v>41029.449745370373</v>
      </c>
      <c r="J583" s="1">
        <v>1</v>
      </c>
      <c r="K583" s="1">
        <v>0</v>
      </c>
    </row>
    <row r="584" spans="1:11" ht="21.75" customHeight="1">
      <c r="A584" s="2">
        <v>19</v>
      </c>
      <c r="B584" s="1" t="s">
        <v>34</v>
      </c>
      <c r="C584" s="1">
        <v>2012</v>
      </c>
      <c r="D584" s="1" t="s">
        <v>59</v>
      </c>
      <c r="E584" s="1">
        <v>1</v>
      </c>
      <c r="F584" s="1">
        <v>1</v>
      </c>
      <c r="G584" s="1" t="s">
        <v>27</v>
      </c>
      <c r="H584" s="1" t="s">
        <v>28</v>
      </c>
      <c r="I584" s="3">
        <v>41050.773668981485</v>
      </c>
      <c r="J584" s="1">
        <v>1</v>
      </c>
      <c r="K584" s="1">
        <v>0</v>
      </c>
    </row>
    <row r="585" spans="1:11" ht="21.75" customHeight="1">
      <c r="A585" s="2">
        <v>22</v>
      </c>
      <c r="B585" s="1" t="s">
        <v>34</v>
      </c>
      <c r="C585" s="1">
        <v>2012</v>
      </c>
      <c r="D585" s="1" t="s">
        <v>59</v>
      </c>
      <c r="E585" s="1">
        <v>1</v>
      </c>
      <c r="F585" s="1">
        <v>1</v>
      </c>
      <c r="G585" s="1" t="s">
        <v>27</v>
      </c>
      <c r="H585" s="1" t="s">
        <v>28</v>
      </c>
      <c r="I585" s="3">
        <v>41052.454247685186</v>
      </c>
      <c r="J585" s="1">
        <v>1</v>
      </c>
      <c r="K585" s="1">
        <v>0</v>
      </c>
    </row>
    <row r="586" spans="1:11" ht="21.75" customHeight="1">
      <c r="A586" s="2">
        <v>22</v>
      </c>
      <c r="B586" s="1" t="s">
        <v>34</v>
      </c>
      <c r="C586" s="1">
        <v>2012</v>
      </c>
      <c r="D586" s="1" t="s">
        <v>59</v>
      </c>
      <c r="E586" s="1">
        <v>1</v>
      </c>
      <c r="F586" s="1">
        <v>1</v>
      </c>
      <c r="G586" s="1" t="s">
        <v>27</v>
      </c>
      <c r="H586" s="1" t="s">
        <v>28</v>
      </c>
      <c r="I586" s="3">
        <v>41052.454976851855</v>
      </c>
      <c r="J586" s="1">
        <v>1</v>
      </c>
      <c r="K586" s="1">
        <v>0</v>
      </c>
    </row>
    <row r="587" spans="1:11" ht="21.75" customHeight="1">
      <c r="A587" s="2">
        <v>24</v>
      </c>
      <c r="B587" s="1" t="s">
        <v>34</v>
      </c>
      <c r="C587" s="1">
        <v>2012</v>
      </c>
      <c r="D587" s="1" t="s">
        <v>59</v>
      </c>
      <c r="E587" s="1">
        <v>1</v>
      </c>
      <c r="F587" s="1">
        <v>1</v>
      </c>
      <c r="G587" s="1" t="s">
        <v>27</v>
      </c>
      <c r="H587" s="1" t="s">
        <v>28</v>
      </c>
      <c r="I587" s="3">
        <v>41053.50271990741</v>
      </c>
      <c r="J587" s="1">
        <v>1</v>
      </c>
      <c r="K587" s="1">
        <v>0</v>
      </c>
    </row>
    <row r="588" spans="1:11" ht="21.75" customHeight="1">
      <c r="A588" s="2">
        <v>30</v>
      </c>
      <c r="B588" s="1" t="s">
        <v>34</v>
      </c>
      <c r="C588" s="1">
        <v>2012</v>
      </c>
      <c r="D588" s="1" t="s">
        <v>59</v>
      </c>
      <c r="E588" s="1">
        <v>1</v>
      </c>
      <c r="F588" s="1">
        <v>0</v>
      </c>
      <c r="G588" s="1" t="s">
        <v>27</v>
      </c>
      <c r="H588" s="1" t="s">
        <v>33</v>
      </c>
      <c r="I588" s="3">
        <v>41059.382349537038</v>
      </c>
      <c r="J588" s="1">
        <v>1</v>
      </c>
      <c r="K588" s="1">
        <v>0</v>
      </c>
    </row>
    <row r="589" spans="1:11" ht="21.75" customHeight="1">
      <c r="A589" s="2">
        <v>18</v>
      </c>
      <c r="B589" s="1" t="s">
        <v>36</v>
      </c>
      <c r="C589" s="1">
        <v>2012</v>
      </c>
      <c r="D589" s="1" t="s">
        <v>59</v>
      </c>
      <c r="E589" s="1">
        <v>2</v>
      </c>
      <c r="F589" s="1">
        <v>2</v>
      </c>
      <c r="G589" s="1" t="s">
        <v>27</v>
      </c>
      <c r="H589" s="1" t="s">
        <v>28</v>
      </c>
      <c r="I589" s="3">
        <v>41109.512060185189</v>
      </c>
      <c r="J589" s="1">
        <v>1</v>
      </c>
      <c r="K589" s="1">
        <v>0</v>
      </c>
    </row>
    <row r="590" spans="1:11" ht="21.75" customHeight="1">
      <c r="A590" s="2">
        <v>19</v>
      </c>
      <c r="B590" s="1" t="s">
        <v>36</v>
      </c>
      <c r="C590" s="1">
        <v>2012</v>
      </c>
      <c r="D590" s="1" t="s">
        <v>59</v>
      </c>
      <c r="E590" s="1">
        <v>1</v>
      </c>
      <c r="F590" s="1">
        <v>1</v>
      </c>
      <c r="G590" s="1" t="s">
        <v>27</v>
      </c>
      <c r="H590" s="1" t="s">
        <v>28</v>
      </c>
      <c r="I590" s="3">
        <v>41109.667569444442</v>
      </c>
      <c r="J590" s="1">
        <v>1</v>
      </c>
      <c r="K590" s="1">
        <v>0</v>
      </c>
    </row>
    <row r="591" spans="1:11" ht="21.75" customHeight="1">
      <c r="A591" s="2">
        <v>24</v>
      </c>
      <c r="B591" s="1" t="s">
        <v>36</v>
      </c>
      <c r="C591" s="1">
        <v>2012</v>
      </c>
      <c r="D591" s="1" t="s">
        <v>59</v>
      </c>
      <c r="E591" s="1">
        <v>1</v>
      </c>
      <c r="F591" s="1">
        <v>1</v>
      </c>
      <c r="G591" s="1" t="s">
        <v>27</v>
      </c>
      <c r="H591" s="1" t="s">
        <v>28</v>
      </c>
      <c r="I591" s="3">
        <v>41114.596076388887</v>
      </c>
      <c r="J591" s="1">
        <v>1</v>
      </c>
      <c r="K591" s="1">
        <v>0</v>
      </c>
    </row>
    <row r="592" spans="1:11" ht="21.75" customHeight="1">
      <c r="A592" s="2">
        <v>18</v>
      </c>
      <c r="B592" s="1" t="s">
        <v>37</v>
      </c>
      <c r="C592" s="1">
        <v>2012</v>
      </c>
      <c r="D592" s="1" t="s">
        <v>59</v>
      </c>
      <c r="E592" s="1">
        <v>1</v>
      </c>
      <c r="F592" s="1">
        <v>1</v>
      </c>
      <c r="G592" s="1" t="s">
        <v>27</v>
      </c>
      <c r="H592" s="1" t="s">
        <v>28</v>
      </c>
      <c r="I592" s="3">
        <v>41141.49827546296</v>
      </c>
      <c r="J592" s="1">
        <v>1</v>
      </c>
      <c r="K592" s="1">
        <v>0</v>
      </c>
    </row>
    <row r="593" spans="1:11" ht="21.75" customHeight="1">
      <c r="A593" s="2">
        <v>22</v>
      </c>
      <c r="B593" s="1" t="s">
        <v>37</v>
      </c>
      <c r="C593" s="1">
        <v>2012</v>
      </c>
      <c r="D593" s="1" t="s">
        <v>59</v>
      </c>
      <c r="E593" s="1">
        <v>1</v>
      </c>
      <c r="F593" s="1">
        <v>1</v>
      </c>
      <c r="G593" s="1" t="s">
        <v>27</v>
      </c>
      <c r="H593" s="1" t="s">
        <v>33</v>
      </c>
      <c r="I593" s="3">
        <v>41143.499328703707</v>
      </c>
      <c r="J593" s="1">
        <v>1</v>
      </c>
      <c r="K593" s="1">
        <v>0</v>
      </c>
    </row>
    <row r="594" spans="1:11" ht="21.75" customHeight="1">
      <c r="A594" s="2">
        <v>21</v>
      </c>
      <c r="B594" s="1" t="s">
        <v>38</v>
      </c>
      <c r="C594" s="1">
        <v>2012</v>
      </c>
      <c r="D594" s="1" t="s">
        <v>59</v>
      </c>
      <c r="E594" s="1">
        <v>2</v>
      </c>
      <c r="F594" s="1">
        <v>2</v>
      </c>
      <c r="G594" s="1" t="s">
        <v>27</v>
      </c>
      <c r="H594" s="1" t="s">
        <v>28</v>
      </c>
      <c r="I594" s="3">
        <v>41177.702210648145</v>
      </c>
      <c r="J594" s="1">
        <v>1</v>
      </c>
      <c r="K594" s="1">
        <v>0</v>
      </c>
    </row>
    <row r="595" spans="1:11" ht="21.75" customHeight="1">
      <c r="A595" s="2">
        <v>27</v>
      </c>
      <c r="B595" s="1" t="s">
        <v>38</v>
      </c>
      <c r="C595" s="1">
        <v>2012</v>
      </c>
      <c r="D595" s="1" t="s">
        <v>59</v>
      </c>
      <c r="E595" s="1">
        <v>2</v>
      </c>
      <c r="F595" s="1">
        <v>2</v>
      </c>
      <c r="G595" s="1" t="s">
        <v>27</v>
      </c>
      <c r="H595" s="1" t="s">
        <v>33</v>
      </c>
      <c r="I595" s="3">
        <v>41180.724999999999</v>
      </c>
      <c r="J595" s="1">
        <v>1</v>
      </c>
      <c r="K595" s="1">
        <v>0</v>
      </c>
    </row>
    <row r="596" spans="1:11" ht="21.75" customHeight="1">
      <c r="A596" s="2">
        <v>15</v>
      </c>
      <c r="B596" s="1" t="s">
        <v>44</v>
      </c>
      <c r="C596" s="1">
        <v>2012</v>
      </c>
      <c r="D596" s="1" t="s">
        <v>59</v>
      </c>
      <c r="E596" s="1">
        <v>2</v>
      </c>
      <c r="F596" s="1">
        <v>2</v>
      </c>
      <c r="G596" s="1" t="s">
        <v>27</v>
      </c>
      <c r="H596" s="1" t="s">
        <v>33</v>
      </c>
      <c r="I596" s="3">
        <v>41229.448993055557</v>
      </c>
      <c r="J596" s="1">
        <v>1</v>
      </c>
      <c r="K596" s="1">
        <v>0</v>
      </c>
    </row>
    <row r="597" spans="1:11" ht="21.75" customHeight="1">
      <c r="A597" s="2">
        <v>4</v>
      </c>
      <c r="B597" s="1" t="s">
        <v>45</v>
      </c>
      <c r="C597" s="1">
        <v>2012</v>
      </c>
      <c r="D597" s="1" t="s">
        <v>59</v>
      </c>
      <c r="E597" s="1">
        <v>2</v>
      </c>
      <c r="F597" s="1">
        <v>2</v>
      </c>
      <c r="G597" s="1" t="s">
        <v>27</v>
      </c>
      <c r="H597" s="1" t="s">
        <v>33</v>
      </c>
      <c r="I597" s="3">
        <v>41247.42528935185</v>
      </c>
      <c r="J597" s="1">
        <v>1</v>
      </c>
      <c r="K597" s="1">
        <v>0</v>
      </c>
    </row>
    <row r="598" spans="1:11" ht="21.75" customHeight="1">
      <c r="A598" s="2">
        <v>4</v>
      </c>
      <c r="B598" s="1" t="s">
        <v>25</v>
      </c>
      <c r="C598" s="1">
        <v>2012</v>
      </c>
      <c r="D598" s="1" t="s">
        <v>59</v>
      </c>
      <c r="E598" s="1">
        <v>4</v>
      </c>
      <c r="F598" s="1">
        <v>4</v>
      </c>
      <c r="G598" s="1" t="s">
        <v>27</v>
      </c>
      <c r="H598" s="1" t="s">
        <v>28</v>
      </c>
      <c r="I598" s="3">
        <v>40912.36314814815</v>
      </c>
      <c r="J598" s="1">
        <v>1</v>
      </c>
      <c r="K598" s="1">
        <v>0</v>
      </c>
    </row>
    <row r="599" spans="1:11" ht="21.75" customHeight="1">
      <c r="A599" s="2">
        <v>15</v>
      </c>
      <c r="B599" s="1" t="s">
        <v>25</v>
      </c>
      <c r="C599" s="1">
        <v>2012</v>
      </c>
      <c r="D599" s="1" t="s">
        <v>59</v>
      </c>
      <c r="E599" s="1">
        <v>2</v>
      </c>
      <c r="F599" s="1">
        <v>2</v>
      </c>
      <c r="G599" s="1" t="s">
        <v>27</v>
      </c>
      <c r="H599" s="1" t="s">
        <v>28</v>
      </c>
      <c r="I599" s="3">
        <v>40923.416875000003</v>
      </c>
      <c r="J599" s="1">
        <v>1</v>
      </c>
      <c r="K599" s="1">
        <v>0</v>
      </c>
    </row>
    <row r="600" spans="1:11" ht="21.75" customHeight="1">
      <c r="A600" s="2">
        <v>9</v>
      </c>
      <c r="B600" s="1" t="s">
        <v>41</v>
      </c>
      <c r="C600" s="1">
        <v>2012</v>
      </c>
      <c r="D600" s="1" t="s">
        <v>59</v>
      </c>
      <c r="E600" s="1">
        <v>1</v>
      </c>
      <c r="F600" s="1">
        <v>1</v>
      </c>
      <c r="G600" s="1" t="s">
        <v>27</v>
      </c>
      <c r="H600" s="1" t="s">
        <v>28</v>
      </c>
      <c r="I600" s="3">
        <v>40948.471412037034</v>
      </c>
      <c r="J600" s="1">
        <v>1</v>
      </c>
      <c r="K600" s="1">
        <v>0</v>
      </c>
    </row>
    <row r="601" spans="1:11" ht="21.75" customHeight="1">
      <c r="A601" s="2">
        <v>15</v>
      </c>
      <c r="B601" s="1" t="s">
        <v>31</v>
      </c>
      <c r="C601" s="1">
        <v>2012</v>
      </c>
      <c r="D601" s="1" t="s">
        <v>59</v>
      </c>
      <c r="E601" s="1">
        <v>1</v>
      </c>
      <c r="F601" s="1">
        <v>1</v>
      </c>
      <c r="G601" s="1" t="s">
        <v>27</v>
      </c>
      <c r="H601" s="1" t="s">
        <v>28</v>
      </c>
      <c r="I601" s="3">
        <v>40982.629236111112</v>
      </c>
      <c r="J601" s="1">
        <v>1</v>
      </c>
      <c r="K601" s="1">
        <v>0</v>
      </c>
    </row>
    <row r="602" spans="1:11" ht="21.75" customHeight="1">
      <c r="A602" s="2">
        <v>12</v>
      </c>
      <c r="B602" s="1" t="s">
        <v>32</v>
      </c>
      <c r="C602" s="1">
        <v>2012</v>
      </c>
      <c r="D602" s="1" t="s">
        <v>59</v>
      </c>
      <c r="E602" s="1">
        <v>1</v>
      </c>
      <c r="F602" s="1">
        <v>1</v>
      </c>
      <c r="G602" s="1" t="s">
        <v>27</v>
      </c>
      <c r="H602" s="1" t="s">
        <v>28</v>
      </c>
      <c r="I602" s="3">
        <v>41010.769583333335</v>
      </c>
      <c r="J602" s="1">
        <v>1</v>
      </c>
      <c r="K602" s="1">
        <v>0</v>
      </c>
    </row>
    <row r="603" spans="1:11" ht="21.75" customHeight="1">
      <c r="A603" s="2">
        <v>22</v>
      </c>
      <c r="B603" s="1" t="s">
        <v>34</v>
      </c>
      <c r="C603" s="1">
        <v>2012</v>
      </c>
      <c r="D603" s="1" t="s">
        <v>59</v>
      </c>
      <c r="E603" s="1">
        <v>1</v>
      </c>
      <c r="F603" s="1">
        <v>1</v>
      </c>
      <c r="G603" s="1" t="s">
        <v>27</v>
      </c>
      <c r="H603" s="1" t="s">
        <v>28</v>
      </c>
      <c r="I603" s="3">
        <v>41052.452499999999</v>
      </c>
      <c r="J603" s="1">
        <v>1</v>
      </c>
      <c r="K603" s="1">
        <v>0</v>
      </c>
    </row>
    <row r="604" spans="1:11" ht="21.75" customHeight="1">
      <c r="A604" s="2">
        <v>16</v>
      </c>
      <c r="B604" s="1" t="s">
        <v>34</v>
      </c>
      <c r="C604" s="1">
        <v>2012</v>
      </c>
      <c r="D604" s="1" t="s">
        <v>59</v>
      </c>
      <c r="E604" s="1">
        <v>1</v>
      </c>
      <c r="F604" s="1">
        <v>1</v>
      </c>
      <c r="G604" s="1" t="s">
        <v>27</v>
      </c>
      <c r="H604" s="1" t="s">
        <v>28</v>
      </c>
      <c r="I604" s="3">
        <v>41045.424409722225</v>
      </c>
      <c r="J604" s="1">
        <v>1</v>
      </c>
      <c r="K604" s="1">
        <v>0</v>
      </c>
    </row>
    <row r="605" spans="1:11" ht="21.75" customHeight="1">
      <c r="A605" s="2">
        <v>24</v>
      </c>
      <c r="B605" s="1" t="s">
        <v>34</v>
      </c>
      <c r="C605" s="1">
        <v>2012</v>
      </c>
      <c r="D605" s="1" t="s">
        <v>59</v>
      </c>
      <c r="E605" s="1">
        <v>1</v>
      </c>
      <c r="F605" s="1">
        <v>1</v>
      </c>
      <c r="G605" s="1" t="s">
        <v>27</v>
      </c>
      <c r="H605" s="1" t="s">
        <v>28</v>
      </c>
      <c r="I605" s="3">
        <v>41052.472349537034</v>
      </c>
      <c r="J605" s="1">
        <v>1</v>
      </c>
      <c r="K605" s="1">
        <v>0</v>
      </c>
    </row>
    <row r="606" spans="1:11" ht="21.75" customHeight="1">
      <c r="A606" s="2">
        <v>12</v>
      </c>
      <c r="B606" s="1" t="s">
        <v>35</v>
      </c>
      <c r="C606" s="1">
        <v>2012</v>
      </c>
      <c r="D606" s="1" t="s">
        <v>59</v>
      </c>
      <c r="E606" s="1">
        <v>1</v>
      </c>
      <c r="F606" s="1">
        <v>1</v>
      </c>
      <c r="G606" s="1" t="s">
        <v>27</v>
      </c>
      <c r="H606" s="1" t="s">
        <v>28</v>
      </c>
      <c r="I606" s="3">
        <v>41071.686597222222</v>
      </c>
      <c r="J606" s="1">
        <v>1</v>
      </c>
      <c r="K606" s="1">
        <v>0</v>
      </c>
    </row>
    <row r="607" spans="1:11" ht="21.75" customHeight="1">
      <c r="A607" s="2">
        <v>12</v>
      </c>
      <c r="B607" s="1" t="s">
        <v>36</v>
      </c>
      <c r="C607" s="1">
        <v>2012</v>
      </c>
      <c r="D607" s="1" t="s">
        <v>59</v>
      </c>
      <c r="E607" s="1">
        <v>1</v>
      </c>
      <c r="F607" s="1">
        <v>1</v>
      </c>
      <c r="G607" s="1" t="s">
        <v>27</v>
      </c>
      <c r="H607" s="1" t="s">
        <v>28</v>
      </c>
      <c r="I607" s="3">
        <v>41101.517731481479</v>
      </c>
      <c r="J607" s="1">
        <v>1</v>
      </c>
      <c r="K607" s="1">
        <v>0</v>
      </c>
    </row>
    <row r="608" spans="1:11" ht="21.75" customHeight="1">
      <c r="A608" s="2">
        <v>28</v>
      </c>
      <c r="B608" s="1" t="s">
        <v>36</v>
      </c>
      <c r="C608" s="1">
        <v>2012</v>
      </c>
      <c r="D608" s="1" t="s">
        <v>59</v>
      </c>
      <c r="E608" s="1">
        <v>1</v>
      </c>
      <c r="F608" s="1">
        <v>1</v>
      </c>
      <c r="G608" s="1" t="s">
        <v>27</v>
      </c>
      <c r="H608" s="1" t="s">
        <v>28</v>
      </c>
      <c r="I608" s="3">
        <v>41127.427673611113</v>
      </c>
      <c r="J608" s="1">
        <v>1</v>
      </c>
      <c r="K608" s="1">
        <v>0</v>
      </c>
    </row>
    <row r="609" spans="1:11" ht="21.75" customHeight="1">
      <c r="A609" s="2">
        <v>25</v>
      </c>
      <c r="B609" s="1" t="s">
        <v>37</v>
      </c>
      <c r="C609" s="1">
        <v>2012</v>
      </c>
      <c r="D609" s="1" t="s">
        <v>59</v>
      </c>
      <c r="E609" s="1">
        <v>1</v>
      </c>
      <c r="F609" s="1">
        <v>1</v>
      </c>
      <c r="G609" s="1" t="s">
        <v>27</v>
      </c>
      <c r="H609" s="1" t="s">
        <v>28</v>
      </c>
      <c r="I609" s="3">
        <v>41146.56454861111</v>
      </c>
      <c r="J609" s="1">
        <v>1</v>
      </c>
      <c r="K609" s="1">
        <v>0</v>
      </c>
    </row>
    <row r="610" spans="1:11" ht="21.75" customHeight="1">
      <c r="A610" s="2">
        <v>26</v>
      </c>
      <c r="B610" s="1" t="s">
        <v>37</v>
      </c>
      <c r="C610" s="1">
        <v>2012</v>
      </c>
      <c r="D610" s="1" t="s">
        <v>59</v>
      </c>
      <c r="E610" s="1">
        <v>1</v>
      </c>
      <c r="F610" s="1">
        <v>1</v>
      </c>
      <c r="G610" s="1" t="s">
        <v>27</v>
      </c>
      <c r="H610" s="1" t="s">
        <v>28</v>
      </c>
      <c r="I610" s="3">
        <v>41148.421898148146</v>
      </c>
      <c r="J610" s="1">
        <v>1</v>
      </c>
      <c r="K610" s="1">
        <v>0</v>
      </c>
    </row>
    <row r="611" spans="1:11" ht="21.75" customHeight="1">
      <c r="A611" s="2">
        <v>19</v>
      </c>
      <c r="B611" s="1" t="s">
        <v>38</v>
      </c>
      <c r="C611" s="1">
        <v>2012</v>
      </c>
      <c r="D611" s="1" t="s">
        <v>59</v>
      </c>
      <c r="E611" s="1">
        <v>1</v>
      </c>
      <c r="F611" s="1">
        <v>1</v>
      </c>
      <c r="G611" s="1" t="s">
        <v>27</v>
      </c>
      <c r="H611" s="1" t="s">
        <v>28</v>
      </c>
      <c r="I611" s="3">
        <v>41171.433692129627</v>
      </c>
      <c r="J611" s="1">
        <v>1</v>
      </c>
      <c r="K611" s="1">
        <v>0</v>
      </c>
    </row>
    <row r="612" spans="1:11" ht="21.75" customHeight="1">
      <c r="A612" s="2">
        <v>30</v>
      </c>
      <c r="B612" s="1" t="s">
        <v>38</v>
      </c>
      <c r="C612" s="1">
        <v>2012</v>
      </c>
      <c r="D612" s="1" t="s">
        <v>59</v>
      </c>
      <c r="E612" s="1">
        <v>2</v>
      </c>
      <c r="F612" s="1">
        <v>2</v>
      </c>
      <c r="G612" s="1" t="s">
        <v>27</v>
      </c>
      <c r="H612" s="1" t="s">
        <v>28</v>
      </c>
      <c r="I612" s="3">
        <v>41185.531400462962</v>
      </c>
      <c r="J612" s="1">
        <v>1</v>
      </c>
      <c r="K612" s="1">
        <v>0</v>
      </c>
    </row>
    <row r="613" spans="1:11" ht="21.75" customHeight="1">
      <c r="A613" s="2">
        <v>14</v>
      </c>
      <c r="B613" s="1" t="s">
        <v>45</v>
      </c>
      <c r="C613" s="1">
        <v>2012</v>
      </c>
      <c r="D613" s="1" t="s">
        <v>59</v>
      </c>
      <c r="E613" s="1">
        <v>2</v>
      </c>
      <c r="F613" s="1">
        <v>2</v>
      </c>
      <c r="G613" s="1" t="s">
        <v>27</v>
      </c>
      <c r="H613" s="1" t="s">
        <v>28</v>
      </c>
      <c r="I613" s="3">
        <v>41256.621064814812</v>
      </c>
      <c r="J613" s="1">
        <v>1</v>
      </c>
      <c r="K613" s="1">
        <v>0</v>
      </c>
    </row>
    <row r="614" spans="1:11" ht="21.75" customHeight="1">
      <c r="A614" s="2">
        <v>32</v>
      </c>
      <c r="B614" s="1" t="s">
        <v>31</v>
      </c>
      <c r="C614" s="1">
        <v>2012</v>
      </c>
      <c r="D614" s="1" t="s">
        <v>59</v>
      </c>
      <c r="E614" s="1">
        <v>1</v>
      </c>
      <c r="F614" s="1">
        <v>1</v>
      </c>
      <c r="G614" s="1" t="s">
        <v>27</v>
      </c>
      <c r="H614" s="1" t="s">
        <v>28</v>
      </c>
      <c r="I614" s="3">
        <v>41001.438923611109</v>
      </c>
      <c r="J614" s="1">
        <v>1</v>
      </c>
      <c r="K614" s="1">
        <v>0</v>
      </c>
    </row>
    <row r="615" spans="1:11" ht="21.75" customHeight="1">
      <c r="A615" s="2">
        <v>6</v>
      </c>
      <c r="B615" s="1" t="s">
        <v>32</v>
      </c>
      <c r="C615" s="1">
        <v>2012</v>
      </c>
      <c r="D615" s="1" t="s">
        <v>59</v>
      </c>
      <c r="E615" s="1">
        <v>3</v>
      </c>
      <c r="F615" s="1">
        <v>3</v>
      </c>
      <c r="G615" s="1" t="s">
        <v>27</v>
      </c>
      <c r="H615" s="1" t="s">
        <v>33</v>
      </c>
      <c r="I615" s="3">
        <v>41010.485810185186</v>
      </c>
      <c r="J615" s="1">
        <v>1</v>
      </c>
      <c r="K615" s="1">
        <v>0</v>
      </c>
    </row>
    <row r="616" spans="1:11" ht="21.75" customHeight="1">
      <c r="A616" s="2">
        <v>7</v>
      </c>
      <c r="B616" s="1" t="s">
        <v>37</v>
      </c>
      <c r="C616" s="1">
        <v>2012</v>
      </c>
      <c r="D616" s="1" t="s">
        <v>59</v>
      </c>
      <c r="E616" s="1">
        <v>1</v>
      </c>
      <c r="F616" s="1">
        <v>1</v>
      </c>
      <c r="G616" s="1" t="s">
        <v>27</v>
      </c>
      <c r="H616" s="1" t="s">
        <v>28</v>
      </c>
      <c r="I616" s="3">
        <v>41130.422118055554</v>
      </c>
      <c r="J616" s="1">
        <v>1</v>
      </c>
      <c r="K616" s="1">
        <v>0</v>
      </c>
    </row>
    <row r="617" spans="1:11" ht="21.75" customHeight="1">
      <c r="A617" s="2">
        <v>7</v>
      </c>
      <c r="B617" s="1" t="s">
        <v>38</v>
      </c>
      <c r="C617" s="1">
        <v>2012</v>
      </c>
      <c r="D617" s="1" t="s">
        <v>59</v>
      </c>
      <c r="E617" s="1">
        <v>1</v>
      </c>
      <c r="F617" s="1">
        <v>1</v>
      </c>
      <c r="G617" s="1" t="s">
        <v>27</v>
      </c>
      <c r="H617" s="1" t="s">
        <v>28</v>
      </c>
      <c r="I617" s="3">
        <v>41164.592152777775</v>
      </c>
      <c r="J617" s="1">
        <v>1</v>
      </c>
      <c r="K617" s="1">
        <v>0</v>
      </c>
    </row>
    <row r="618" spans="1:11" ht="21.75" customHeight="1">
      <c r="A618" s="2">
        <v>21</v>
      </c>
      <c r="B618" s="1" t="s">
        <v>38</v>
      </c>
      <c r="C618" s="1">
        <v>2012</v>
      </c>
      <c r="D618" s="1" t="s">
        <v>59</v>
      </c>
      <c r="E618" s="1">
        <v>2</v>
      </c>
      <c r="F618" s="1">
        <v>2</v>
      </c>
      <c r="G618" s="1" t="s">
        <v>27</v>
      </c>
      <c r="H618" s="1" t="s">
        <v>28</v>
      </c>
      <c r="I618" s="3">
        <v>41172.728518518517</v>
      </c>
      <c r="J618" s="1">
        <v>1</v>
      </c>
      <c r="K618" s="1">
        <v>0</v>
      </c>
    </row>
    <row r="619" spans="1:11" ht="21.75" customHeight="1">
      <c r="A619" s="2">
        <v>24</v>
      </c>
      <c r="B619" s="1" t="s">
        <v>31</v>
      </c>
      <c r="C619" s="1">
        <v>2012</v>
      </c>
      <c r="D619" s="1" t="s">
        <v>59</v>
      </c>
      <c r="E619" s="1">
        <v>4</v>
      </c>
      <c r="F619" s="1">
        <v>4</v>
      </c>
      <c r="G619" s="1" t="s">
        <v>27</v>
      </c>
      <c r="H619" s="1" t="s">
        <v>33</v>
      </c>
      <c r="I619" s="3">
        <v>40992.425474537034</v>
      </c>
      <c r="J619" s="1">
        <v>1</v>
      </c>
      <c r="K619" s="1">
        <v>0</v>
      </c>
    </row>
    <row r="620" spans="1:11" ht="21.75" customHeight="1">
      <c r="A620" s="2">
        <v>28</v>
      </c>
      <c r="B620" s="1" t="s">
        <v>32</v>
      </c>
      <c r="C620" s="1">
        <v>2012</v>
      </c>
      <c r="D620" s="1" t="s">
        <v>59</v>
      </c>
      <c r="E620" s="1">
        <v>2</v>
      </c>
      <c r="F620" s="1">
        <v>2</v>
      </c>
      <c r="G620" s="1" t="s">
        <v>27</v>
      </c>
      <c r="H620" s="1" t="s">
        <v>33</v>
      </c>
      <c r="I620" s="3">
        <v>41026.61273148148</v>
      </c>
      <c r="J620" s="1">
        <v>1</v>
      </c>
      <c r="K620" s="1">
        <v>0</v>
      </c>
    </row>
    <row r="621" spans="1:11" ht="21.75" customHeight="1">
      <c r="A621" s="2">
        <v>22</v>
      </c>
      <c r="B621" s="1" t="s">
        <v>35</v>
      </c>
      <c r="C621" s="1">
        <v>2012</v>
      </c>
      <c r="D621" s="1" t="s">
        <v>59</v>
      </c>
      <c r="E621" s="1">
        <v>2</v>
      </c>
      <c r="F621" s="1">
        <v>2</v>
      </c>
      <c r="G621" s="1" t="s">
        <v>27</v>
      </c>
      <c r="H621" s="1" t="s">
        <v>33</v>
      </c>
      <c r="I621" s="3">
        <v>41082.437430555554</v>
      </c>
      <c r="J621" s="1">
        <v>1</v>
      </c>
      <c r="K621" s="1">
        <v>0</v>
      </c>
    </row>
    <row r="622" spans="1:11" ht="21.75" customHeight="1">
      <c r="A622" s="2">
        <v>27</v>
      </c>
      <c r="B622" s="1" t="s">
        <v>36</v>
      </c>
      <c r="C622" s="1">
        <v>2012</v>
      </c>
      <c r="D622" s="1" t="s">
        <v>59</v>
      </c>
      <c r="E622" s="1">
        <v>1</v>
      </c>
      <c r="F622" s="1">
        <v>1</v>
      </c>
      <c r="G622" s="1" t="s">
        <v>27</v>
      </c>
      <c r="H622" s="1" t="s">
        <v>28</v>
      </c>
      <c r="I622" s="3">
        <v>41117.609456018516</v>
      </c>
      <c r="J622" s="1">
        <v>1</v>
      </c>
      <c r="K622" s="1">
        <v>0</v>
      </c>
    </row>
    <row r="623" spans="1:11" ht="21.75" customHeight="1">
      <c r="A623" s="2">
        <v>4</v>
      </c>
      <c r="B623" s="1" t="s">
        <v>43</v>
      </c>
      <c r="C623" s="1">
        <v>2012</v>
      </c>
      <c r="D623" s="1" t="s">
        <v>59</v>
      </c>
      <c r="E623" s="1">
        <v>4</v>
      </c>
      <c r="F623" s="1">
        <v>4</v>
      </c>
      <c r="G623" s="1" t="s">
        <v>27</v>
      </c>
      <c r="H623" s="1" t="s">
        <v>28</v>
      </c>
      <c r="I623" s="3">
        <v>41191.615428240744</v>
      </c>
      <c r="J623" s="1">
        <v>1</v>
      </c>
      <c r="K623" s="1">
        <v>0</v>
      </c>
    </row>
    <row r="624" spans="1:11" ht="21.75" customHeight="1">
      <c r="A624" s="2">
        <v>2</v>
      </c>
      <c r="B624" s="1" t="s">
        <v>44</v>
      </c>
      <c r="C624" s="1">
        <v>2012</v>
      </c>
      <c r="D624" s="1" t="s">
        <v>59</v>
      </c>
      <c r="E624" s="1">
        <v>1</v>
      </c>
      <c r="F624" s="1">
        <v>1</v>
      </c>
      <c r="G624" s="1" t="s">
        <v>27</v>
      </c>
      <c r="H624" s="1" t="s">
        <v>28</v>
      </c>
      <c r="I624" s="3">
        <v>41218.489201388889</v>
      </c>
      <c r="J624" s="1">
        <v>1</v>
      </c>
      <c r="K624" s="1">
        <v>0</v>
      </c>
    </row>
    <row r="625" spans="1:11" ht="21.75" customHeight="1">
      <c r="A625" s="2">
        <v>21</v>
      </c>
      <c r="B625" s="1" t="s">
        <v>45</v>
      </c>
      <c r="C625" s="1">
        <v>2012</v>
      </c>
      <c r="D625" s="1" t="s">
        <v>59</v>
      </c>
      <c r="E625" s="1">
        <v>1</v>
      </c>
      <c r="F625" s="1">
        <v>1</v>
      </c>
      <c r="G625" s="1" t="s">
        <v>27</v>
      </c>
      <c r="H625" s="1" t="s">
        <v>28</v>
      </c>
      <c r="I625" s="3">
        <v>41264.664270833331</v>
      </c>
      <c r="J625" s="1">
        <v>1</v>
      </c>
      <c r="K625" s="1">
        <v>0</v>
      </c>
    </row>
    <row r="626" spans="1:11" ht="21.75" customHeight="1">
      <c r="A626" s="2">
        <v>10</v>
      </c>
      <c r="B626" s="1" t="s">
        <v>25</v>
      </c>
      <c r="C626" s="1">
        <v>2012</v>
      </c>
      <c r="D626" s="1" t="s">
        <v>59</v>
      </c>
      <c r="E626" s="1">
        <v>1</v>
      </c>
      <c r="F626" s="1">
        <v>1</v>
      </c>
      <c r="G626" s="1" t="s">
        <v>27</v>
      </c>
      <c r="H626" s="1" t="s">
        <v>28</v>
      </c>
      <c r="I626" s="3">
        <v>40806.710578703707</v>
      </c>
      <c r="J626" s="1">
        <v>1</v>
      </c>
      <c r="K626" s="1">
        <v>0</v>
      </c>
    </row>
    <row r="627" spans="1:11" ht="21.75" customHeight="1">
      <c r="A627" s="2">
        <v>10</v>
      </c>
      <c r="B627" s="1" t="s">
        <v>25</v>
      </c>
      <c r="C627" s="1">
        <v>2012</v>
      </c>
      <c r="D627" s="1" t="s">
        <v>59</v>
      </c>
      <c r="E627" s="1">
        <v>1</v>
      </c>
      <c r="F627" s="1">
        <v>1</v>
      </c>
      <c r="G627" s="1" t="s">
        <v>27</v>
      </c>
      <c r="H627" s="1" t="s">
        <v>33</v>
      </c>
      <c r="I627" s="3">
        <v>40917.638599537036</v>
      </c>
      <c r="J627" s="1">
        <v>1</v>
      </c>
      <c r="K627" s="1">
        <v>0</v>
      </c>
    </row>
    <row r="628" spans="1:11" ht="21.75" customHeight="1">
      <c r="A628" s="2">
        <v>12</v>
      </c>
      <c r="B628" s="1" t="s">
        <v>25</v>
      </c>
      <c r="C628" s="1">
        <v>2012</v>
      </c>
      <c r="D628" s="1" t="s">
        <v>59</v>
      </c>
      <c r="E628" s="1">
        <v>2</v>
      </c>
      <c r="F628" s="1">
        <v>2</v>
      </c>
      <c r="G628" s="1" t="s">
        <v>27</v>
      </c>
      <c r="H628" s="1" t="s">
        <v>33</v>
      </c>
      <c r="I628" s="3">
        <v>40920.329305555555</v>
      </c>
      <c r="J628" s="1">
        <v>1</v>
      </c>
      <c r="K628" s="1">
        <v>0</v>
      </c>
    </row>
    <row r="629" spans="1:11" ht="21.75" customHeight="1">
      <c r="A629" s="2">
        <v>16</v>
      </c>
      <c r="B629" s="1" t="s">
        <v>41</v>
      </c>
      <c r="C629" s="1">
        <v>2012</v>
      </c>
      <c r="D629" s="1" t="s">
        <v>59</v>
      </c>
      <c r="E629" s="1">
        <v>1</v>
      </c>
      <c r="F629" s="1">
        <v>1</v>
      </c>
      <c r="G629" s="1" t="s">
        <v>27</v>
      </c>
      <c r="H629" s="1" t="s">
        <v>28</v>
      </c>
      <c r="I629" s="3">
        <v>40955.485879629632</v>
      </c>
      <c r="J629" s="1">
        <v>1</v>
      </c>
      <c r="K629" s="1">
        <v>0</v>
      </c>
    </row>
    <row r="630" spans="1:11" ht="21.75" customHeight="1">
      <c r="A630" s="2">
        <v>9</v>
      </c>
      <c r="B630" s="1" t="s">
        <v>34</v>
      </c>
      <c r="C630" s="1">
        <v>2012</v>
      </c>
      <c r="D630" s="1" t="s">
        <v>59</v>
      </c>
      <c r="E630" s="1">
        <v>2</v>
      </c>
      <c r="F630" s="1">
        <v>2</v>
      </c>
      <c r="G630" s="1" t="s">
        <v>27</v>
      </c>
      <c r="H630" s="1" t="s">
        <v>28</v>
      </c>
      <c r="I630" s="3">
        <v>41038.3203125</v>
      </c>
      <c r="J630" s="1">
        <v>1</v>
      </c>
      <c r="K630" s="1">
        <v>0</v>
      </c>
    </row>
    <row r="631" spans="1:11" ht="21.75" customHeight="1">
      <c r="A631" s="2">
        <v>26</v>
      </c>
      <c r="B631" s="1" t="s">
        <v>37</v>
      </c>
      <c r="C631" s="1">
        <v>2012</v>
      </c>
      <c r="D631" s="1" t="s">
        <v>59</v>
      </c>
      <c r="E631" s="1">
        <v>2</v>
      </c>
      <c r="F631" s="1">
        <v>2</v>
      </c>
      <c r="G631" s="1" t="s">
        <v>27</v>
      </c>
      <c r="H631" s="1" t="s">
        <v>28</v>
      </c>
      <c r="I631" s="3">
        <v>41148.426516203705</v>
      </c>
      <c r="J631" s="1">
        <v>1</v>
      </c>
      <c r="K631" s="1">
        <v>0</v>
      </c>
    </row>
    <row r="632" spans="1:11" ht="21.75" customHeight="1">
      <c r="A632" s="2">
        <v>32</v>
      </c>
      <c r="B632" s="1" t="s">
        <v>37</v>
      </c>
      <c r="C632" s="1">
        <v>2012</v>
      </c>
      <c r="D632" s="1" t="s">
        <v>59</v>
      </c>
      <c r="E632" s="1">
        <v>1</v>
      </c>
      <c r="F632" s="1">
        <v>1</v>
      </c>
      <c r="G632" s="1" t="s">
        <v>27</v>
      </c>
      <c r="H632" s="1" t="s">
        <v>28</v>
      </c>
      <c r="I632" s="3">
        <v>41155.721099537041</v>
      </c>
      <c r="J632" s="1">
        <v>1</v>
      </c>
      <c r="K632" s="1">
        <v>0</v>
      </c>
    </row>
    <row r="633" spans="1:11" ht="21.75" customHeight="1">
      <c r="A633" s="2">
        <v>8</v>
      </c>
      <c r="B633" s="1" t="s">
        <v>25</v>
      </c>
      <c r="C633" s="1">
        <v>2012</v>
      </c>
      <c r="D633" s="1" t="s">
        <v>59</v>
      </c>
      <c r="E633" s="1">
        <v>2</v>
      </c>
      <c r="F633" s="1">
        <v>2</v>
      </c>
      <c r="G633" s="1" t="s">
        <v>27</v>
      </c>
      <c r="H633" s="1" t="s">
        <v>28</v>
      </c>
      <c r="I633" s="3">
        <v>40917.592060185183</v>
      </c>
      <c r="J633" s="1">
        <v>1</v>
      </c>
      <c r="K633" s="1">
        <v>0</v>
      </c>
    </row>
    <row r="634" spans="1:11" ht="21.75" customHeight="1">
      <c r="A634" s="2">
        <v>2</v>
      </c>
      <c r="B634" s="1" t="s">
        <v>41</v>
      </c>
      <c r="C634" s="1">
        <v>2012</v>
      </c>
      <c r="D634" s="1" t="s">
        <v>59</v>
      </c>
      <c r="E634" s="1">
        <v>2</v>
      </c>
      <c r="F634" s="1">
        <v>2</v>
      </c>
      <c r="G634" s="1" t="s">
        <v>27</v>
      </c>
      <c r="H634" s="1" t="s">
        <v>28</v>
      </c>
      <c r="I634" s="3">
        <v>40940.608101851853</v>
      </c>
      <c r="J634" s="1">
        <v>1</v>
      </c>
      <c r="K634" s="1">
        <v>0</v>
      </c>
    </row>
    <row r="635" spans="1:11" ht="21.75" customHeight="1">
      <c r="A635" s="2">
        <v>28</v>
      </c>
      <c r="B635" s="1" t="s">
        <v>45</v>
      </c>
      <c r="C635" s="1">
        <v>2012</v>
      </c>
      <c r="D635" s="1" t="s">
        <v>59</v>
      </c>
      <c r="E635" s="1">
        <v>10</v>
      </c>
      <c r="F635" s="1">
        <v>10</v>
      </c>
      <c r="G635" s="1" t="s">
        <v>27</v>
      </c>
      <c r="H635" s="1" t="s">
        <v>28</v>
      </c>
      <c r="I635" s="3">
        <v>41271.596886574072</v>
      </c>
      <c r="J635" s="1">
        <v>1</v>
      </c>
      <c r="K635" s="1">
        <v>0</v>
      </c>
    </row>
    <row r="636" spans="1:11" ht="21.75" customHeight="1">
      <c r="A636" s="2">
        <v>29</v>
      </c>
      <c r="B636" s="1" t="s">
        <v>38</v>
      </c>
      <c r="C636" s="1">
        <v>2012</v>
      </c>
      <c r="D636" s="1" t="s">
        <v>59</v>
      </c>
      <c r="E636" s="1">
        <v>5</v>
      </c>
      <c r="F636" s="1">
        <v>5</v>
      </c>
      <c r="G636" s="1" t="s">
        <v>27</v>
      </c>
      <c r="H636" s="1" t="s">
        <v>28</v>
      </c>
      <c r="I636" s="3">
        <v>41183.582858796297</v>
      </c>
      <c r="J636" s="1">
        <v>1</v>
      </c>
      <c r="K636" s="1">
        <v>0</v>
      </c>
    </row>
    <row r="637" spans="1:11" ht="21.75" customHeight="1">
      <c r="A637" s="2">
        <v>14</v>
      </c>
      <c r="B637" s="1" t="s">
        <v>31</v>
      </c>
      <c r="C637" s="1">
        <v>2012</v>
      </c>
      <c r="D637" s="1" t="s">
        <v>59</v>
      </c>
      <c r="E637" s="1">
        <v>1</v>
      </c>
      <c r="F637" s="1">
        <v>1</v>
      </c>
      <c r="G637" s="1" t="s">
        <v>27</v>
      </c>
      <c r="H637" s="1" t="s">
        <v>28</v>
      </c>
      <c r="I637" s="3">
        <v>40981.73170138889</v>
      </c>
      <c r="J637" s="1">
        <v>1</v>
      </c>
      <c r="K637" s="1">
        <v>0</v>
      </c>
    </row>
    <row r="638" spans="1:11" ht="21.75" customHeight="1">
      <c r="A638" s="2">
        <v>10</v>
      </c>
      <c r="B638" s="1" t="s">
        <v>32</v>
      </c>
      <c r="C638" s="1">
        <v>2012</v>
      </c>
      <c r="D638" s="1" t="s">
        <v>59</v>
      </c>
      <c r="E638" s="1">
        <v>2</v>
      </c>
      <c r="F638" s="1">
        <v>2</v>
      </c>
      <c r="G638" s="1" t="s">
        <v>27</v>
      </c>
      <c r="H638" s="1" t="s">
        <v>33</v>
      </c>
      <c r="I638" s="3">
        <v>41010.662349537037</v>
      </c>
      <c r="J638" s="1">
        <v>1</v>
      </c>
      <c r="K638" s="1">
        <v>0</v>
      </c>
    </row>
    <row r="639" spans="1:11" ht="21.75" customHeight="1">
      <c r="A639" s="2">
        <v>28</v>
      </c>
      <c r="B639" s="1" t="s">
        <v>36</v>
      </c>
      <c r="C639" s="1">
        <v>2012</v>
      </c>
      <c r="D639" s="1" t="s">
        <v>59</v>
      </c>
      <c r="E639" s="1">
        <v>1</v>
      </c>
      <c r="F639" s="1">
        <v>1</v>
      </c>
      <c r="G639" s="1" t="s">
        <v>27</v>
      </c>
      <c r="H639" s="1" t="s">
        <v>33</v>
      </c>
      <c r="I639" s="3">
        <v>41127.429178240738</v>
      </c>
      <c r="J639" s="1">
        <v>1</v>
      </c>
      <c r="K639" s="1">
        <v>0</v>
      </c>
    </row>
    <row r="640" spans="1:11" ht="21.75" customHeight="1">
      <c r="A640" s="2">
        <v>18</v>
      </c>
      <c r="B640" s="1" t="s">
        <v>43</v>
      </c>
      <c r="C640" s="1">
        <v>2012</v>
      </c>
      <c r="D640" s="1" t="s">
        <v>59</v>
      </c>
      <c r="E640" s="1">
        <v>2</v>
      </c>
      <c r="F640" s="1">
        <v>2</v>
      </c>
      <c r="G640" s="1" t="s">
        <v>27</v>
      </c>
      <c r="H640" s="1" t="s">
        <v>28</v>
      </c>
      <c r="I640" s="3">
        <v>41200.691261574073</v>
      </c>
      <c r="J640" s="1">
        <v>1</v>
      </c>
      <c r="K640" s="1">
        <v>0</v>
      </c>
    </row>
    <row r="641" spans="1:11" ht="21.75" customHeight="1">
      <c r="A641" s="2">
        <v>11</v>
      </c>
      <c r="B641" s="1" t="s">
        <v>41</v>
      </c>
      <c r="C641" s="1">
        <v>2012</v>
      </c>
      <c r="D641" s="1" t="s">
        <v>60</v>
      </c>
      <c r="E641" s="1">
        <v>3</v>
      </c>
      <c r="F641" s="1">
        <v>3</v>
      </c>
      <c r="G641" s="1" t="s">
        <v>27</v>
      </c>
      <c r="H641" s="1" t="s">
        <v>28</v>
      </c>
      <c r="I641" s="3">
        <v>40952.481886574074</v>
      </c>
      <c r="J641" s="1">
        <v>1</v>
      </c>
      <c r="K641" s="1">
        <v>0</v>
      </c>
    </row>
    <row r="642" spans="1:11" ht="21.75" customHeight="1">
      <c r="A642" s="2">
        <v>7</v>
      </c>
      <c r="B642" s="1" t="s">
        <v>31</v>
      </c>
      <c r="C642" s="1">
        <v>2012</v>
      </c>
      <c r="D642" s="1" t="s">
        <v>60</v>
      </c>
      <c r="E642" s="1">
        <v>2</v>
      </c>
      <c r="F642" s="1">
        <v>2</v>
      </c>
      <c r="G642" s="1" t="s">
        <v>27</v>
      </c>
      <c r="H642" s="1" t="s">
        <v>28</v>
      </c>
      <c r="I642" s="3">
        <v>40975.46533564815</v>
      </c>
      <c r="J642" s="1">
        <v>1</v>
      </c>
      <c r="K642" s="1">
        <v>0</v>
      </c>
    </row>
    <row r="643" spans="1:11" ht="21.75" customHeight="1">
      <c r="A643" s="2">
        <v>18</v>
      </c>
      <c r="B643" s="1" t="s">
        <v>31</v>
      </c>
      <c r="C643" s="1">
        <v>2012</v>
      </c>
      <c r="D643" s="1" t="s">
        <v>60</v>
      </c>
      <c r="E643" s="1">
        <v>1</v>
      </c>
      <c r="F643" s="1">
        <v>1</v>
      </c>
      <c r="G643" s="1" t="s">
        <v>27</v>
      </c>
      <c r="H643" s="1" t="s">
        <v>28</v>
      </c>
      <c r="I643" s="3">
        <v>40987.56453703704</v>
      </c>
      <c r="J643" s="1">
        <v>1</v>
      </c>
      <c r="K643" s="1">
        <v>0</v>
      </c>
    </row>
    <row r="644" spans="1:11" ht="21.75" customHeight="1">
      <c r="A644" s="2">
        <v>23</v>
      </c>
      <c r="B644" s="1" t="s">
        <v>31</v>
      </c>
      <c r="C644" s="1">
        <v>2012</v>
      </c>
      <c r="D644" s="1" t="s">
        <v>60</v>
      </c>
      <c r="E644" s="1">
        <v>1</v>
      </c>
      <c r="F644" s="1">
        <v>1</v>
      </c>
      <c r="G644" s="1" t="s">
        <v>27</v>
      </c>
      <c r="H644" s="1" t="s">
        <v>28</v>
      </c>
      <c r="I644" s="3">
        <v>40990.527037037034</v>
      </c>
      <c r="J644" s="1">
        <v>1</v>
      </c>
      <c r="K644" s="1">
        <v>0</v>
      </c>
    </row>
    <row r="645" spans="1:11" ht="21.75" customHeight="1">
      <c r="A645" s="2">
        <v>6</v>
      </c>
      <c r="B645" s="1" t="s">
        <v>32</v>
      </c>
      <c r="C645" s="1">
        <v>2012</v>
      </c>
      <c r="D645" s="1" t="s">
        <v>60</v>
      </c>
      <c r="E645" s="1">
        <v>3</v>
      </c>
      <c r="F645" s="1">
        <v>3</v>
      </c>
      <c r="G645" s="1" t="s">
        <v>27</v>
      </c>
      <c r="H645" s="1" t="s">
        <v>28</v>
      </c>
      <c r="I645" s="3">
        <v>41010.48646990741</v>
      </c>
      <c r="J645" s="1">
        <v>1</v>
      </c>
      <c r="K645" s="1">
        <v>0</v>
      </c>
    </row>
    <row r="646" spans="1:11" ht="21.75" customHeight="1">
      <c r="A646" s="2">
        <v>21</v>
      </c>
      <c r="B646" s="1" t="s">
        <v>32</v>
      </c>
      <c r="C646" s="1">
        <v>2012</v>
      </c>
      <c r="D646" s="1" t="s">
        <v>60</v>
      </c>
      <c r="E646" s="1">
        <v>1</v>
      </c>
      <c r="F646" s="1">
        <v>1</v>
      </c>
      <c r="G646" s="1" t="s">
        <v>27</v>
      </c>
      <c r="H646" s="1" t="s">
        <v>28</v>
      </c>
      <c r="I646" s="3">
        <v>41019.598182870373</v>
      </c>
      <c r="J646" s="1">
        <v>1</v>
      </c>
      <c r="K646" s="1">
        <v>0</v>
      </c>
    </row>
    <row r="647" spans="1:11" ht="21.75" customHeight="1">
      <c r="A647" s="2">
        <v>22</v>
      </c>
      <c r="B647" s="1" t="s">
        <v>34</v>
      </c>
      <c r="C647" s="1">
        <v>2012</v>
      </c>
      <c r="D647" s="1" t="s">
        <v>60</v>
      </c>
      <c r="E647" s="1">
        <v>1</v>
      </c>
      <c r="F647" s="1">
        <v>1</v>
      </c>
      <c r="G647" s="1" t="s">
        <v>27</v>
      </c>
      <c r="H647" s="1" t="s">
        <v>28</v>
      </c>
      <c r="I647" s="3">
        <v>41052.452499999999</v>
      </c>
      <c r="J647" s="1">
        <v>1</v>
      </c>
      <c r="K647" s="1">
        <v>0</v>
      </c>
    </row>
    <row r="648" spans="1:11" ht="21.75" customHeight="1">
      <c r="A648" s="2">
        <v>24</v>
      </c>
      <c r="B648" s="1" t="s">
        <v>34</v>
      </c>
      <c r="C648" s="1">
        <v>2012</v>
      </c>
      <c r="D648" s="1" t="s">
        <v>60</v>
      </c>
      <c r="E648" s="1">
        <v>1</v>
      </c>
      <c r="F648" s="1">
        <v>1</v>
      </c>
      <c r="G648" s="1" t="s">
        <v>27</v>
      </c>
      <c r="H648" s="1" t="s">
        <v>28</v>
      </c>
      <c r="I648" s="3">
        <v>41052.616446759261</v>
      </c>
      <c r="J648" s="1">
        <v>1</v>
      </c>
      <c r="K648" s="1">
        <v>0</v>
      </c>
    </row>
    <row r="649" spans="1:11" ht="21.75" customHeight="1">
      <c r="A649" s="2">
        <v>28</v>
      </c>
      <c r="B649" s="1" t="s">
        <v>35</v>
      </c>
      <c r="C649" s="1">
        <v>2012</v>
      </c>
      <c r="D649" s="1" t="s">
        <v>60</v>
      </c>
      <c r="E649" s="1">
        <v>1</v>
      </c>
      <c r="F649" s="1">
        <v>1</v>
      </c>
      <c r="G649" s="1" t="s">
        <v>27</v>
      </c>
      <c r="H649" s="1" t="s">
        <v>28</v>
      </c>
      <c r="I649" s="3">
        <v>41087.468784722223</v>
      </c>
      <c r="J649" s="1">
        <v>1</v>
      </c>
      <c r="K649" s="1">
        <v>0</v>
      </c>
    </row>
    <row r="650" spans="1:11" ht="21.75" customHeight="1">
      <c r="A650" s="2">
        <v>28</v>
      </c>
      <c r="B650" s="1" t="s">
        <v>35</v>
      </c>
      <c r="C650" s="1">
        <v>2012</v>
      </c>
      <c r="D650" s="1" t="s">
        <v>60</v>
      </c>
      <c r="E650" s="1">
        <v>2</v>
      </c>
      <c r="F650" s="1">
        <v>2</v>
      </c>
      <c r="G650" s="1" t="s">
        <v>27</v>
      </c>
      <c r="H650" s="1" t="s">
        <v>28</v>
      </c>
      <c r="I650" s="3">
        <v>41088.459363425929</v>
      </c>
      <c r="J650" s="1">
        <v>1</v>
      </c>
      <c r="K650" s="1">
        <v>0</v>
      </c>
    </row>
    <row r="651" spans="1:11" ht="21.75" customHeight="1">
      <c r="A651" s="2">
        <v>30</v>
      </c>
      <c r="B651" s="1" t="s">
        <v>35</v>
      </c>
      <c r="C651" s="1">
        <v>2012</v>
      </c>
      <c r="D651" s="1" t="s">
        <v>60</v>
      </c>
      <c r="E651" s="1">
        <v>1</v>
      </c>
      <c r="F651" s="1">
        <v>1</v>
      </c>
      <c r="G651" s="1" t="s">
        <v>27</v>
      </c>
      <c r="H651" s="1" t="s">
        <v>28</v>
      </c>
      <c r="I651" s="3">
        <v>41093.64025462963</v>
      </c>
      <c r="J651" s="1">
        <v>1</v>
      </c>
      <c r="K651" s="1">
        <v>0</v>
      </c>
    </row>
    <row r="652" spans="1:11" ht="21.75" customHeight="1">
      <c r="A652" s="2">
        <v>24</v>
      </c>
      <c r="B652" s="1" t="s">
        <v>36</v>
      </c>
      <c r="C652" s="1">
        <v>2012</v>
      </c>
      <c r="D652" s="1" t="s">
        <v>60</v>
      </c>
      <c r="E652" s="1">
        <v>3</v>
      </c>
      <c r="F652" s="1">
        <v>3</v>
      </c>
      <c r="G652" s="1" t="s">
        <v>27</v>
      </c>
      <c r="H652" s="1" t="s">
        <v>28</v>
      </c>
      <c r="I652" s="3">
        <v>41114.528460648151</v>
      </c>
      <c r="J652" s="1">
        <v>1</v>
      </c>
      <c r="K652" s="1">
        <v>0</v>
      </c>
    </row>
    <row r="653" spans="1:11" ht="21.75" customHeight="1">
      <c r="A653" s="2">
        <v>30</v>
      </c>
      <c r="B653" s="1" t="s">
        <v>36</v>
      </c>
      <c r="C653" s="1">
        <v>2012</v>
      </c>
      <c r="D653" s="1" t="s">
        <v>60</v>
      </c>
      <c r="E653" s="1">
        <v>2</v>
      </c>
      <c r="F653" s="1">
        <v>2</v>
      </c>
      <c r="G653" s="1" t="s">
        <v>27</v>
      </c>
      <c r="H653" s="1" t="s">
        <v>28</v>
      </c>
      <c r="I653" s="3">
        <v>41120.518206018518</v>
      </c>
      <c r="J653" s="1">
        <v>1</v>
      </c>
      <c r="K653" s="1">
        <v>0</v>
      </c>
    </row>
  </sheetData>
  <autoFilter ref="A1:K653" xr:uid="{00000000-0009-0000-0000-000003000000}"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4E8-99E6-45F9-860C-0255525D06DC}">
  <sheetPr codeName="Planilha3"/>
  <dimension ref="A1:AA304"/>
  <sheetViews>
    <sheetView showGridLines="0" workbookViewId="0">
      <selection activeCell="R10" sqref="R10"/>
    </sheetView>
  </sheetViews>
  <sheetFormatPr defaultColWidth="9.140625" defaultRowHeight="13.9"/>
  <cols>
    <col min="1" max="1" width="11.140625" style="15" bestFit="1" customWidth="1"/>
    <col min="2" max="2" width="12.28515625" style="15" customWidth="1"/>
    <col min="3" max="3" width="10.140625" style="15" customWidth="1"/>
    <col min="4" max="4" width="12.85546875" style="15" bestFit="1" customWidth="1"/>
    <col min="5" max="5" width="20.28515625" style="15" bestFit="1" customWidth="1"/>
    <col min="6" max="6" width="14.28515625" style="15" bestFit="1" customWidth="1"/>
    <col min="7" max="7" width="16.28515625" style="15" customWidth="1"/>
    <col min="8" max="8" width="25.42578125" style="15" bestFit="1" customWidth="1"/>
    <col min="9" max="9" width="20.28515625" style="15" bestFit="1" customWidth="1"/>
    <col min="10" max="10" width="26.85546875" style="15" bestFit="1" customWidth="1"/>
    <col min="11" max="18" width="9.140625" style="7"/>
    <col min="19" max="19" width="12.42578125" style="7" customWidth="1"/>
    <col min="20" max="20" width="18.42578125" style="7" customWidth="1"/>
    <col min="21" max="16384" width="9.140625" style="7"/>
  </cols>
  <sheetData>
    <row r="1" spans="1:27">
      <c r="A1" s="11" t="s">
        <v>61</v>
      </c>
      <c r="B1" s="12" t="s">
        <v>62</v>
      </c>
      <c r="C1" s="12" t="s">
        <v>63</v>
      </c>
      <c r="D1" s="12" t="s">
        <v>64</v>
      </c>
      <c r="E1" s="12" t="s">
        <v>65</v>
      </c>
      <c r="F1" s="12" t="s">
        <v>66</v>
      </c>
      <c r="G1" s="12" t="s">
        <v>67</v>
      </c>
      <c r="H1" s="12" t="s">
        <v>68</v>
      </c>
      <c r="I1" s="12" t="s">
        <v>69</v>
      </c>
      <c r="J1" s="13" t="s">
        <v>70</v>
      </c>
      <c r="O1" s="15" t="s">
        <v>71</v>
      </c>
      <c r="P1" s="15" t="s">
        <v>72</v>
      </c>
    </row>
    <row r="2" spans="1:27">
      <c r="A2" s="14">
        <v>1</v>
      </c>
      <c r="B2" s="14">
        <v>63</v>
      </c>
      <c r="C2" s="14">
        <v>1</v>
      </c>
      <c r="D2" s="14">
        <v>1</v>
      </c>
      <c r="E2" s="14">
        <v>145</v>
      </c>
      <c r="F2" s="14">
        <v>233</v>
      </c>
      <c r="G2" s="14">
        <v>1</v>
      </c>
      <c r="H2" s="14">
        <v>150</v>
      </c>
      <c r="I2" s="14">
        <v>0</v>
      </c>
      <c r="J2" s="14">
        <v>0</v>
      </c>
      <c r="L2" s="7" t="s">
        <v>73</v>
      </c>
      <c r="O2" s="14">
        <v>63</v>
      </c>
      <c r="P2" s="14">
        <v>145</v>
      </c>
    </row>
    <row r="3" spans="1:27" ht="14.45">
      <c r="A3" s="14">
        <v>2</v>
      </c>
      <c r="B3" s="14">
        <v>67</v>
      </c>
      <c r="C3" s="14">
        <v>1</v>
      </c>
      <c r="D3" s="14">
        <v>4</v>
      </c>
      <c r="E3" s="14">
        <v>160</v>
      </c>
      <c r="F3" s="14">
        <v>286</v>
      </c>
      <c r="G3" s="14">
        <v>0</v>
      </c>
      <c r="H3" s="14">
        <v>108</v>
      </c>
      <c r="I3" s="14">
        <v>1</v>
      </c>
      <c r="J3" s="14">
        <v>2</v>
      </c>
      <c r="O3" s="14">
        <v>67</v>
      </c>
      <c r="P3" s="14">
        <v>160</v>
      </c>
      <c r="S3" t="s">
        <v>74</v>
      </c>
      <c r="T3"/>
      <c r="U3"/>
      <c r="V3"/>
      <c r="W3"/>
      <c r="X3"/>
      <c r="Y3"/>
      <c r="Z3"/>
      <c r="AA3"/>
    </row>
    <row r="4" spans="1:27" ht="15" thickBot="1">
      <c r="A4" s="14">
        <v>3</v>
      </c>
      <c r="B4" s="14">
        <v>67</v>
      </c>
      <c r="C4" s="14">
        <v>1</v>
      </c>
      <c r="D4" s="14">
        <v>4</v>
      </c>
      <c r="E4" s="14">
        <v>120</v>
      </c>
      <c r="F4" s="14">
        <v>229</v>
      </c>
      <c r="G4" s="14">
        <v>0</v>
      </c>
      <c r="H4" s="14">
        <v>129</v>
      </c>
      <c r="I4" s="14">
        <v>1</v>
      </c>
      <c r="J4" s="14">
        <v>1</v>
      </c>
      <c r="O4" s="14">
        <v>67</v>
      </c>
      <c r="P4" s="14">
        <v>120</v>
      </c>
      <c r="S4"/>
      <c r="T4"/>
      <c r="U4"/>
      <c r="V4"/>
      <c r="W4"/>
      <c r="X4"/>
      <c r="Y4"/>
      <c r="Z4"/>
      <c r="AA4"/>
    </row>
    <row r="5" spans="1:27" ht="14.45">
      <c r="A5" s="14">
        <v>4</v>
      </c>
      <c r="B5" s="14">
        <v>37</v>
      </c>
      <c r="C5" s="14">
        <v>1</v>
      </c>
      <c r="D5" s="14">
        <v>3</v>
      </c>
      <c r="E5" s="14">
        <v>130</v>
      </c>
      <c r="F5" s="14">
        <v>250</v>
      </c>
      <c r="G5" s="14">
        <v>0</v>
      </c>
      <c r="H5" s="14">
        <v>187</v>
      </c>
      <c r="I5" s="14">
        <v>0</v>
      </c>
      <c r="J5" s="14">
        <v>0</v>
      </c>
      <c r="L5" s="7">
        <f>CORREL(data[Demanda],data[Média de atraso (h)])</f>
        <v>0.28494591931369045</v>
      </c>
      <c r="O5" s="14">
        <v>37</v>
      </c>
      <c r="P5" s="14">
        <v>130</v>
      </c>
      <c r="S5" s="19" t="s">
        <v>75</v>
      </c>
      <c r="T5" s="19"/>
      <c r="U5"/>
      <c r="V5"/>
      <c r="W5"/>
      <c r="X5"/>
      <c r="Y5"/>
      <c r="Z5"/>
      <c r="AA5"/>
    </row>
    <row r="6" spans="1:27" ht="14.45">
      <c r="A6" s="14">
        <v>5</v>
      </c>
      <c r="B6" s="14">
        <v>41</v>
      </c>
      <c r="C6" s="14">
        <v>0</v>
      </c>
      <c r="D6" s="14">
        <v>2</v>
      </c>
      <c r="E6" s="14">
        <v>130</v>
      </c>
      <c r="F6" s="14">
        <v>204</v>
      </c>
      <c r="G6" s="14">
        <v>0</v>
      </c>
      <c r="H6" s="14">
        <v>172</v>
      </c>
      <c r="I6" s="14">
        <v>0</v>
      </c>
      <c r="J6" s="14">
        <v>0</v>
      </c>
      <c r="O6" s="14">
        <v>41</v>
      </c>
      <c r="P6" s="14">
        <v>130</v>
      </c>
      <c r="S6" t="s">
        <v>76</v>
      </c>
      <c r="T6">
        <v>0.28494591931368929</v>
      </c>
      <c r="U6"/>
      <c r="V6"/>
      <c r="W6"/>
      <c r="X6"/>
      <c r="Y6"/>
      <c r="Z6"/>
      <c r="AA6"/>
    </row>
    <row r="7" spans="1:27" ht="14.45">
      <c r="A7" s="14">
        <v>6</v>
      </c>
      <c r="B7" s="14">
        <v>56</v>
      </c>
      <c r="C7" s="14">
        <v>1</v>
      </c>
      <c r="D7" s="14">
        <v>2</v>
      </c>
      <c r="E7" s="14">
        <v>120</v>
      </c>
      <c r="F7" s="14">
        <v>236</v>
      </c>
      <c r="G7" s="14">
        <v>0</v>
      </c>
      <c r="H7" s="14">
        <v>178</v>
      </c>
      <c r="I7" s="14">
        <v>0</v>
      </c>
      <c r="J7" s="14">
        <v>0</v>
      </c>
      <c r="L7" s="7">
        <f>_xlfn.STDEV.S(data[Demanda])</f>
        <v>9.0386624424467517</v>
      </c>
      <c r="O7" s="14">
        <v>56</v>
      </c>
      <c r="P7" s="14">
        <v>120</v>
      </c>
      <c r="S7" t="s">
        <v>77</v>
      </c>
      <c r="T7">
        <v>8.1194176933523529E-2</v>
      </c>
      <c r="U7"/>
      <c r="V7"/>
      <c r="W7"/>
      <c r="X7"/>
      <c r="Y7"/>
      <c r="Z7"/>
      <c r="AA7"/>
    </row>
    <row r="8" spans="1:27" ht="14.45">
      <c r="A8" s="14">
        <v>7</v>
      </c>
      <c r="B8" s="14">
        <v>62</v>
      </c>
      <c r="C8" s="14">
        <v>0</v>
      </c>
      <c r="D8" s="14">
        <v>4</v>
      </c>
      <c r="E8" s="14">
        <v>140</v>
      </c>
      <c r="F8" s="14">
        <v>268</v>
      </c>
      <c r="G8" s="14">
        <v>0</v>
      </c>
      <c r="H8" s="14">
        <v>160</v>
      </c>
      <c r="I8" s="14">
        <v>0</v>
      </c>
      <c r="J8" s="14">
        <v>3</v>
      </c>
      <c r="O8" s="14">
        <v>62</v>
      </c>
      <c r="P8" s="14">
        <v>140</v>
      </c>
      <c r="S8" t="s">
        <v>78</v>
      </c>
      <c r="T8">
        <v>7.8141665893435561E-2</v>
      </c>
      <c r="U8"/>
      <c r="V8"/>
      <c r="W8"/>
      <c r="X8"/>
      <c r="Y8"/>
      <c r="Z8"/>
      <c r="AA8"/>
    </row>
    <row r="9" spans="1:27" ht="14.45">
      <c r="A9" s="14">
        <v>8</v>
      </c>
      <c r="B9" s="14">
        <v>57</v>
      </c>
      <c r="C9" s="14">
        <v>0</v>
      </c>
      <c r="D9" s="14">
        <v>4</v>
      </c>
      <c r="E9" s="14">
        <v>120</v>
      </c>
      <c r="F9" s="14">
        <v>354</v>
      </c>
      <c r="G9" s="14">
        <v>0</v>
      </c>
      <c r="H9" s="14">
        <v>163</v>
      </c>
      <c r="I9" s="14">
        <v>1</v>
      </c>
      <c r="J9" s="14">
        <v>0</v>
      </c>
      <c r="O9" s="14">
        <v>57</v>
      </c>
      <c r="P9" s="14">
        <v>120</v>
      </c>
      <c r="S9" t="s">
        <v>79</v>
      </c>
      <c r="T9">
        <v>8.6783320026544359</v>
      </c>
      <c r="U9"/>
      <c r="V9"/>
      <c r="W9"/>
      <c r="X9"/>
      <c r="Y9"/>
      <c r="Z9"/>
      <c r="AA9"/>
    </row>
    <row r="10" spans="1:27" ht="15" thickBot="1">
      <c r="A10" s="14">
        <v>9</v>
      </c>
      <c r="B10" s="14">
        <v>63</v>
      </c>
      <c r="C10" s="14">
        <v>1</v>
      </c>
      <c r="D10" s="14">
        <v>4</v>
      </c>
      <c r="E10" s="14">
        <v>130</v>
      </c>
      <c r="F10" s="14">
        <v>254</v>
      </c>
      <c r="G10" s="14">
        <v>0</v>
      </c>
      <c r="H10" s="14">
        <v>147</v>
      </c>
      <c r="I10" s="14">
        <v>0</v>
      </c>
      <c r="J10" s="14">
        <v>2</v>
      </c>
      <c r="O10" s="14">
        <v>63</v>
      </c>
      <c r="P10" s="14">
        <v>130</v>
      </c>
      <c r="S10" s="17" t="s">
        <v>80</v>
      </c>
      <c r="T10" s="17">
        <v>303</v>
      </c>
      <c r="U10"/>
      <c r="V10"/>
      <c r="W10"/>
      <c r="X10"/>
      <c r="Y10"/>
      <c r="Z10"/>
      <c r="AA10"/>
    </row>
    <row r="11" spans="1:27" ht="14.45">
      <c r="A11" s="14">
        <v>10</v>
      </c>
      <c r="B11" s="14">
        <v>53</v>
      </c>
      <c r="C11" s="14">
        <v>1</v>
      </c>
      <c r="D11" s="14">
        <v>4</v>
      </c>
      <c r="E11" s="14">
        <v>140</v>
      </c>
      <c r="F11" s="14">
        <v>203</v>
      </c>
      <c r="G11" s="14">
        <v>1</v>
      </c>
      <c r="H11" s="14">
        <v>155</v>
      </c>
      <c r="I11" s="14">
        <v>1</v>
      </c>
      <c r="J11" s="14">
        <v>1</v>
      </c>
      <c r="O11" s="14">
        <v>53</v>
      </c>
      <c r="P11" s="14">
        <v>140</v>
      </c>
      <c r="S11"/>
      <c r="T11"/>
      <c r="U11"/>
      <c r="V11"/>
      <c r="W11"/>
      <c r="X11"/>
      <c r="Y11"/>
      <c r="Z11"/>
      <c r="AA11"/>
    </row>
    <row r="12" spans="1:27" ht="15" thickBot="1">
      <c r="A12" s="14">
        <v>11</v>
      </c>
      <c r="B12" s="14">
        <v>57</v>
      </c>
      <c r="C12" s="14">
        <v>1</v>
      </c>
      <c r="D12" s="14">
        <v>4</v>
      </c>
      <c r="E12" s="14">
        <v>140</v>
      </c>
      <c r="F12" s="14">
        <v>192</v>
      </c>
      <c r="G12" s="14">
        <v>0</v>
      </c>
      <c r="H12" s="14">
        <v>148</v>
      </c>
      <c r="I12" s="14">
        <v>0</v>
      </c>
      <c r="J12" s="14">
        <v>0</v>
      </c>
      <c r="O12" s="14">
        <v>57</v>
      </c>
      <c r="P12" s="14">
        <v>140</v>
      </c>
      <c r="S12" t="s">
        <v>81</v>
      </c>
      <c r="T12"/>
      <c r="U12"/>
      <c r="V12"/>
      <c r="W12"/>
      <c r="X12"/>
      <c r="Y12"/>
      <c r="Z12"/>
      <c r="AA12"/>
    </row>
    <row r="13" spans="1:27" ht="14.45">
      <c r="A13" s="14">
        <v>12</v>
      </c>
      <c r="B13" s="14">
        <v>56</v>
      </c>
      <c r="C13" s="14">
        <v>0</v>
      </c>
      <c r="D13" s="14">
        <v>2</v>
      </c>
      <c r="E13" s="14">
        <v>140</v>
      </c>
      <c r="F13" s="14">
        <v>294</v>
      </c>
      <c r="G13" s="14">
        <v>0</v>
      </c>
      <c r="H13" s="14">
        <v>153</v>
      </c>
      <c r="I13" s="14">
        <v>0</v>
      </c>
      <c r="J13" s="14">
        <v>0</v>
      </c>
      <c r="O13" s="14">
        <v>56</v>
      </c>
      <c r="P13" s="14">
        <v>140</v>
      </c>
      <c r="S13" s="18"/>
      <c r="T13" s="18" t="s">
        <v>82</v>
      </c>
      <c r="U13" s="18" t="s">
        <v>83</v>
      </c>
      <c r="V13" s="18" t="s">
        <v>84</v>
      </c>
      <c r="W13" s="18" t="s">
        <v>85</v>
      </c>
      <c r="X13" s="18" t="s">
        <v>86</v>
      </c>
      <c r="Y13"/>
      <c r="Z13"/>
      <c r="AA13"/>
    </row>
    <row r="14" spans="1:27" ht="14.45">
      <c r="A14" s="14">
        <v>13</v>
      </c>
      <c r="B14" s="14">
        <v>56</v>
      </c>
      <c r="C14" s="14">
        <v>1</v>
      </c>
      <c r="D14" s="14">
        <v>3</v>
      </c>
      <c r="E14" s="14">
        <v>130</v>
      </c>
      <c r="F14" s="14">
        <v>256</v>
      </c>
      <c r="G14" s="14">
        <v>1</v>
      </c>
      <c r="H14" s="14">
        <v>142</v>
      </c>
      <c r="I14" s="14">
        <v>1</v>
      </c>
      <c r="J14" s="14">
        <v>2</v>
      </c>
      <c r="O14" s="14">
        <v>56</v>
      </c>
      <c r="P14" s="14">
        <v>130</v>
      </c>
      <c r="S14" t="s">
        <v>87</v>
      </c>
      <c r="T14">
        <v>1</v>
      </c>
      <c r="U14">
        <v>2003.2731112090514</v>
      </c>
      <c r="V14">
        <v>2003.2731112090514</v>
      </c>
      <c r="W14">
        <v>26.599142760572562</v>
      </c>
      <c r="X14">
        <v>4.5474769676212337E-7</v>
      </c>
      <c r="Y14"/>
      <c r="Z14"/>
      <c r="AA14"/>
    </row>
    <row r="15" spans="1:27" ht="14.45">
      <c r="A15" s="14">
        <v>14</v>
      </c>
      <c r="B15" s="14">
        <v>44</v>
      </c>
      <c r="C15" s="14">
        <v>1</v>
      </c>
      <c r="D15" s="14">
        <v>2</v>
      </c>
      <c r="E15" s="14">
        <v>120</v>
      </c>
      <c r="F15" s="14">
        <v>263</v>
      </c>
      <c r="G15" s="14">
        <v>0</v>
      </c>
      <c r="H15" s="14">
        <v>173</v>
      </c>
      <c r="I15" s="14">
        <v>0</v>
      </c>
      <c r="J15" s="14">
        <v>0</v>
      </c>
      <c r="O15" s="14">
        <v>44</v>
      </c>
      <c r="P15" s="14">
        <v>120</v>
      </c>
      <c r="S15" t="s">
        <v>88</v>
      </c>
      <c r="T15">
        <v>301</v>
      </c>
      <c r="U15">
        <v>22669.347350837139</v>
      </c>
      <c r="V15">
        <v>75.313446348296139</v>
      </c>
      <c r="W15"/>
      <c r="X15"/>
      <c r="Y15"/>
      <c r="Z15"/>
      <c r="AA15"/>
    </row>
    <row r="16" spans="1:27" ht="15" thickBot="1">
      <c r="A16" s="14">
        <v>15</v>
      </c>
      <c r="B16" s="14">
        <v>52</v>
      </c>
      <c r="C16" s="14">
        <v>1</v>
      </c>
      <c r="D16" s="14">
        <v>3</v>
      </c>
      <c r="E16" s="14">
        <v>172</v>
      </c>
      <c r="F16" s="14">
        <v>199</v>
      </c>
      <c r="G16" s="14">
        <v>1</v>
      </c>
      <c r="H16" s="14">
        <v>162</v>
      </c>
      <c r="I16" s="14">
        <v>0</v>
      </c>
      <c r="J16" s="14">
        <v>0</v>
      </c>
      <c r="O16" s="14">
        <v>52</v>
      </c>
      <c r="P16" s="14">
        <v>172</v>
      </c>
      <c r="S16" s="17" t="s">
        <v>89</v>
      </c>
      <c r="T16" s="17">
        <v>302</v>
      </c>
      <c r="U16" s="17">
        <v>24672.62046204619</v>
      </c>
      <c r="V16" s="17"/>
      <c r="W16" s="17"/>
      <c r="X16" s="17"/>
      <c r="Y16"/>
      <c r="Z16"/>
      <c r="AA16"/>
    </row>
    <row r="17" spans="1:27" ht="15" thickBot="1">
      <c r="A17" s="14">
        <v>16</v>
      </c>
      <c r="B17" s="14">
        <v>57</v>
      </c>
      <c r="C17" s="14">
        <v>1</v>
      </c>
      <c r="D17" s="14">
        <v>3</v>
      </c>
      <c r="E17" s="14">
        <v>150</v>
      </c>
      <c r="F17" s="14">
        <v>168</v>
      </c>
      <c r="G17" s="14">
        <v>0</v>
      </c>
      <c r="H17" s="14">
        <v>174</v>
      </c>
      <c r="I17" s="14">
        <v>0</v>
      </c>
      <c r="J17" s="14">
        <v>0</v>
      </c>
      <c r="O17" s="14">
        <v>57</v>
      </c>
      <c r="P17" s="14">
        <v>150</v>
      </c>
      <c r="S17"/>
      <c r="T17"/>
      <c r="U17"/>
      <c r="V17"/>
      <c r="W17"/>
      <c r="X17"/>
      <c r="Y17"/>
      <c r="Z17"/>
      <c r="AA17"/>
    </row>
    <row r="18" spans="1:27" ht="14.45">
      <c r="A18" s="14">
        <v>17</v>
      </c>
      <c r="B18" s="14">
        <v>48</v>
      </c>
      <c r="C18" s="14">
        <v>1</v>
      </c>
      <c r="D18" s="14">
        <v>2</v>
      </c>
      <c r="E18" s="14">
        <v>110</v>
      </c>
      <c r="F18" s="14">
        <v>229</v>
      </c>
      <c r="G18" s="14">
        <v>0</v>
      </c>
      <c r="H18" s="14">
        <v>168</v>
      </c>
      <c r="I18" s="14">
        <v>0</v>
      </c>
      <c r="J18" s="14">
        <v>1</v>
      </c>
      <c r="O18" s="14">
        <v>48</v>
      </c>
      <c r="P18" s="14">
        <v>110</v>
      </c>
      <c r="S18" s="20"/>
      <c r="T18" s="20" t="s">
        <v>90</v>
      </c>
      <c r="U18" s="18" t="s">
        <v>79</v>
      </c>
      <c r="V18" s="18" t="s">
        <v>91</v>
      </c>
      <c r="W18" s="18" t="s">
        <v>92</v>
      </c>
      <c r="X18" s="18" t="s">
        <v>93</v>
      </c>
      <c r="Y18" s="18" t="s">
        <v>94</v>
      </c>
      <c r="Z18" s="18" t="s">
        <v>95</v>
      </c>
      <c r="AA18" s="18" t="s">
        <v>96</v>
      </c>
    </row>
    <row r="19" spans="1:27" ht="14.45">
      <c r="A19" s="14">
        <v>18</v>
      </c>
      <c r="B19" s="14">
        <v>54</v>
      </c>
      <c r="C19" s="14">
        <v>1</v>
      </c>
      <c r="D19" s="14">
        <v>4</v>
      </c>
      <c r="E19" s="14">
        <v>140</v>
      </c>
      <c r="F19" s="14">
        <v>239</v>
      </c>
      <c r="G19" s="14">
        <v>0</v>
      </c>
      <c r="H19" s="14">
        <v>160</v>
      </c>
      <c r="I19" s="14">
        <v>0</v>
      </c>
      <c r="J19" s="14">
        <v>0</v>
      </c>
      <c r="O19" s="14">
        <v>54</v>
      </c>
      <c r="P19" s="14">
        <v>140</v>
      </c>
      <c r="S19" s="21" t="s">
        <v>97</v>
      </c>
      <c r="T19" s="21">
        <v>35.167591080552036</v>
      </c>
      <c r="U19">
        <v>3.7697284748549764</v>
      </c>
      <c r="V19">
        <v>9.3289453909289719</v>
      </c>
      <c r="W19">
        <v>2.4111932661452504E-18</v>
      </c>
      <c r="X19">
        <v>27.749230885565495</v>
      </c>
      <c r="Y19">
        <v>42.585951275538577</v>
      </c>
      <c r="Z19">
        <v>27.749230885565495</v>
      </c>
      <c r="AA19">
        <v>42.585951275538577</v>
      </c>
    </row>
    <row r="20" spans="1:27" ht="15" thickBot="1">
      <c r="A20" s="14">
        <v>19</v>
      </c>
      <c r="B20" s="14">
        <v>48</v>
      </c>
      <c r="C20" s="14">
        <v>0</v>
      </c>
      <c r="D20" s="14">
        <v>3</v>
      </c>
      <c r="E20" s="14">
        <v>130</v>
      </c>
      <c r="F20" s="14">
        <v>275</v>
      </c>
      <c r="G20" s="14">
        <v>0</v>
      </c>
      <c r="H20" s="14">
        <v>139</v>
      </c>
      <c r="I20" s="14">
        <v>0</v>
      </c>
      <c r="J20" s="14">
        <v>0</v>
      </c>
      <c r="O20" s="14">
        <v>48</v>
      </c>
      <c r="P20" s="14">
        <v>130</v>
      </c>
      <c r="S20" s="22" t="s">
        <v>98</v>
      </c>
      <c r="T20" s="22">
        <v>0.14633902818386882</v>
      </c>
      <c r="U20" s="17">
        <v>2.8374377763252596E-2</v>
      </c>
      <c r="V20" s="17">
        <v>5.1574356768235878</v>
      </c>
      <c r="W20" s="17">
        <v>4.5474769676208134E-7</v>
      </c>
      <c r="X20" s="17">
        <v>9.0501756093729221E-2</v>
      </c>
      <c r="Y20" s="17">
        <v>0.2021763002740084</v>
      </c>
      <c r="Z20" s="17">
        <v>9.0501756093729221E-2</v>
      </c>
      <c r="AA20" s="17">
        <v>0.2021763002740084</v>
      </c>
    </row>
    <row r="21" spans="1:27" ht="14.45">
      <c r="A21" s="14">
        <v>20</v>
      </c>
      <c r="B21" s="14">
        <v>49</v>
      </c>
      <c r="C21" s="14">
        <v>1</v>
      </c>
      <c r="D21" s="14">
        <v>2</v>
      </c>
      <c r="E21" s="14">
        <v>130</v>
      </c>
      <c r="F21" s="14">
        <v>266</v>
      </c>
      <c r="G21" s="14">
        <v>0</v>
      </c>
      <c r="H21" s="14">
        <v>171</v>
      </c>
      <c r="I21" s="14">
        <v>0</v>
      </c>
      <c r="J21" s="14">
        <v>0</v>
      </c>
      <c r="O21" s="14">
        <v>49</v>
      </c>
      <c r="P21" s="14">
        <v>130</v>
      </c>
      <c r="S21"/>
      <c r="T21"/>
      <c r="U21"/>
      <c r="V21"/>
      <c r="W21"/>
      <c r="X21"/>
      <c r="Y21"/>
      <c r="Z21"/>
      <c r="AA21"/>
    </row>
    <row r="22" spans="1:27" ht="14.45">
      <c r="A22" s="14">
        <v>21</v>
      </c>
      <c r="B22" s="14">
        <v>64</v>
      </c>
      <c r="C22" s="14">
        <v>1</v>
      </c>
      <c r="D22" s="14">
        <v>1</v>
      </c>
      <c r="E22" s="14">
        <v>110</v>
      </c>
      <c r="F22" s="14">
        <v>211</v>
      </c>
      <c r="G22" s="14">
        <v>0</v>
      </c>
      <c r="H22" s="14">
        <v>144</v>
      </c>
      <c r="I22" s="14">
        <v>1</v>
      </c>
      <c r="J22" s="14">
        <v>0</v>
      </c>
      <c r="O22" s="14">
        <v>64</v>
      </c>
      <c r="P22" s="14">
        <v>110</v>
      </c>
      <c r="S22"/>
      <c r="T22"/>
      <c r="U22"/>
      <c r="V22"/>
      <c r="W22"/>
      <c r="X22"/>
      <c r="Y22"/>
      <c r="Z22"/>
      <c r="AA22"/>
    </row>
    <row r="23" spans="1:27" ht="14.45">
      <c r="A23" s="14">
        <v>22</v>
      </c>
      <c r="B23" s="14">
        <v>58</v>
      </c>
      <c r="C23" s="14">
        <v>0</v>
      </c>
      <c r="D23" s="14">
        <v>1</v>
      </c>
      <c r="E23" s="14">
        <v>150</v>
      </c>
      <c r="F23" s="14">
        <v>283</v>
      </c>
      <c r="G23" s="14">
        <v>1</v>
      </c>
      <c r="H23" s="14">
        <v>162</v>
      </c>
      <c r="I23" s="14">
        <v>0</v>
      </c>
      <c r="J23" s="14">
        <v>0</v>
      </c>
      <c r="O23" s="14">
        <v>58</v>
      </c>
      <c r="P23" s="14">
        <v>150</v>
      </c>
      <c r="S23"/>
      <c r="T23"/>
      <c r="U23"/>
      <c r="V23"/>
      <c r="W23"/>
      <c r="X23"/>
      <c r="Y23"/>
      <c r="Z23"/>
      <c r="AA23"/>
    </row>
    <row r="24" spans="1:27">
      <c r="A24" s="14">
        <v>23</v>
      </c>
      <c r="B24" s="14">
        <v>58</v>
      </c>
      <c r="C24" s="14">
        <v>1</v>
      </c>
      <c r="D24" s="14">
        <v>2</v>
      </c>
      <c r="E24" s="14">
        <v>120</v>
      </c>
      <c r="F24" s="14">
        <v>284</v>
      </c>
      <c r="G24" s="14">
        <v>0</v>
      </c>
      <c r="H24" s="14">
        <v>160</v>
      </c>
      <c r="I24" s="14">
        <v>0</v>
      </c>
      <c r="J24" s="14">
        <v>1</v>
      </c>
      <c r="O24" s="14">
        <v>58</v>
      </c>
      <c r="P24" s="14">
        <v>120</v>
      </c>
    </row>
    <row r="25" spans="1:27">
      <c r="A25" s="14">
        <v>24</v>
      </c>
      <c r="B25" s="14">
        <v>58</v>
      </c>
      <c r="C25" s="14">
        <v>1</v>
      </c>
      <c r="D25" s="14">
        <v>3</v>
      </c>
      <c r="E25" s="14">
        <v>132</v>
      </c>
      <c r="F25" s="14">
        <v>224</v>
      </c>
      <c r="G25" s="14">
        <v>0</v>
      </c>
      <c r="H25" s="14">
        <v>173</v>
      </c>
      <c r="I25" s="14">
        <v>0</v>
      </c>
      <c r="J25" s="14">
        <v>3</v>
      </c>
      <c r="O25" s="14">
        <v>58</v>
      </c>
      <c r="P25" s="14">
        <v>132</v>
      </c>
    </row>
    <row r="26" spans="1:27">
      <c r="A26" s="14">
        <v>25</v>
      </c>
      <c r="B26" s="14">
        <v>60</v>
      </c>
      <c r="C26" s="14">
        <v>1</v>
      </c>
      <c r="D26" s="14">
        <v>4</v>
      </c>
      <c r="E26" s="14">
        <v>130</v>
      </c>
      <c r="F26" s="14">
        <v>206</v>
      </c>
      <c r="G26" s="14">
        <v>0</v>
      </c>
      <c r="H26" s="14">
        <v>132</v>
      </c>
      <c r="I26" s="14">
        <v>1</v>
      </c>
      <c r="J26" s="14">
        <v>4</v>
      </c>
      <c r="O26" s="14">
        <v>60</v>
      </c>
      <c r="P26" s="14">
        <v>130</v>
      </c>
    </row>
    <row r="27" spans="1:27">
      <c r="A27" s="14">
        <v>26</v>
      </c>
      <c r="B27" s="14">
        <v>50</v>
      </c>
      <c r="C27" s="14">
        <v>0</v>
      </c>
      <c r="D27" s="14">
        <v>3</v>
      </c>
      <c r="E27" s="14">
        <v>120</v>
      </c>
      <c r="F27" s="14">
        <v>219</v>
      </c>
      <c r="G27" s="14">
        <v>0</v>
      </c>
      <c r="H27" s="14">
        <v>158</v>
      </c>
      <c r="I27" s="14">
        <v>0</v>
      </c>
      <c r="J27" s="14">
        <v>0</v>
      </c>
      <c r="O27" s="14">
        <v>50</v>
      </c>
      <c r="P27" s="14">
        <v>120</v>
      </c>
    </row>
    <row r="28" spans="1:27">
      <c r="A28" s="14">
        <v>27</v>
      </c>
      <c r="B28" s="14">
        <v>58</v>
      </c>
      <c r="C28" s="14">
        <v>0</v>
      </c>
      <c r="D28" s="14">
        <v>3</v>
      </c>
      <c r="E28" s="14">
        <v>120</v>
      </c>
      <c r="F28" s="14">
        <v>340</v>
      </c>
      <c r="G28" s="14">
        <v>0</v>
      </c>
      <c r="H28" s="14">
        <v>172</v>
      </c>
      <c r="I28" s="14">
        <v>0</v>
      </c>
      <c r="J28" s="14">
        <v>0</v>
      </c>
      <c r="O28" s="14">
        <v>58</v>
      </c>
      <c r="P28" s="14">
        <v>120</v>
      </c>
    </row>
    <row r="29" spans="1:27">
      <c r="A29" s="14">
        <v>28</v>
      </c>
      <c r="B29" s="14">
        <v>66</v>
      </c>
      <c r="C29" s="14">
        <v>0</v>
      </c>
      <c r="D29" s="14">
        <v>1</v>
      </c>
      <c r="E29" s="14">
        <v>150</v>
      </c>
      <c r="F29" s="14">
        <v>226</v>
      </c>
      <c r="G29" s="14">
        <v>0</v>
      </c>
      <c r="H29" s="14">
        <v>114</v>
      </c>
      <c r="I29" s="14">
        <v>0</v>
      </c>
      <c r="J29" s="14">
        <v>0</v>
      </c>
      <c r="O29" s="14">
        <v>66</v>
      </c>
      <c r="P29" s="14">
        <v>150</v>
      </c>
    </row>
    <row r="30" spans="1:27">
      <c r="A30" s="14">
        <v>29</v>
      </c>
      <c r="B30" s="14">
        <v>43</v>
      </c>
      <c r="C30" s="14">
        <v>1</v>
      </c>
      <c r="D30" s="14">
        <v>4</v>
      </c>
      <c r="E30" s="14">
        <v>150</v>
      </c>
      <c r="F30" s="14">
        <v>247</v>
      </c>
      <c r="G30" s="14">
        <v>0</v>
      </c>
      <c r="H30" s="14">
        <v>171</v>
      </c>
      <c r="I30" s="14">
        <v>0</v>
      </c>
      <c r="J30" s="14">
        <v>0</v>
      </c>
      <c r="O30" s="14">
        <v>43</v>
      </c>
      <c r="P30" s="14">
        <v>150</v>
      </c>
    </row>
    <row r="31" spans="1:27">
      <c r="A31" s="14">
        <v>30</v>
      </c>
      <c r="B31" s="14">
        <v>40</v>
      </c>
      <c r="C31" s="14">
        <v>1</v>
      </c>
      <c r="D31" s="14">
        <v>4</v>
      </c>
      <c r="E31" s="14">
        <v>110</v>
      </c>
      <c r="F31" s="14">
        <v>167</v>
      </c>
      <c r="G31" s="14">
        <v>0</v>
      </c>
      <c r="H31" s="14">
        <v>114</v>
      </c>
      <c r="I31" s="14">
        <v>1</v>
      </c>
      <c r="J31" s="14">
        <v>3</v>
      </c>
      <c r="O31" s="14">
        <v>40</v>
      </c>
      <c r="P31" s="14">
        <v>110</v>
      </c>
    </row>
    <row r="32" spans="1:27">
      <c r="A32" s="14">
        <v>31</v>
      </c>
      <c r="B32" s="14">
        <v>69</v>
      </c>
      <c r="C32" s="14">
        <v>0</v>
      </c>
      <c r="D32" s="14">
        <v>1</v>
      </c>
      <c r="E32" s="14">
        <v>140</v>
      </c>
      <c r="F32" s="14">
        <v>239</v>
      </c>
      <c r="G32" s="14">
        <v>0</v>
      </c>
      <c r="H32" s="14">
        <v>151</v>
      </c>
      <c r="I32" s="14">
        <v>0</v>
      </c>
      <c r="J32" s="14">
        <v>0</v>
      </c>
      <c r="O32" s="14">
        <v>69</v>
      </c>
      <c r="P32" s="14">
        <v>140</v>
      </c>
    </row>
    <row r="33" spans="1:16">
      <c r="A33" s="14">
        <v>32</v>
      </c>
      <c r="B33" s="14">
        <v>60</v>
      </c>
      <c r="C33" s="14">
        <v>1</v>
      </c>
      <c r="D33" s="14">
        <v>4</v>
      </c>
      <c r="E33" s="14">
        <v>117</v>
      </c>
      <c r="F33" s="14">
        <v>230</v>
      </c>
      <c r="G33" s="14">
        <v>1</v>
      </c>
      <c r="H33" s="14">
        <v>160</v>
      </c>
      <c r="I33" s="14">
        <v>1</v>
      </c>
      <c r="J33" s="14">
        <v>2</v>
      </c>
      <c r="O33" s="14">
        <v>60</v>
      </c>
      <c r="P33" s="14">
        <v>117</v>
      </c>
    </row>
    <row r="34" spans="1:16">
      <c r="A34" s="14">
        <v>33</v>
      </c>
      <c r="B34" s="14">
        <v>64</v>
      </c>
      <c r="C34" s="14">
        <v>1</v>
      </c>
      <c r="D34" s="14">
        <v>3</v>
      </c>
      <c r="E34" s="14">
        <v>140</v>
      </c>
      <c r="F34" s="14">
        <v>335</v>
      </c>
      <c r="G34" s="14">
        <v>0</v>
      </c>
      <c r="H34" s="14">
        <v>158</v>
      </c>
      <c r="I34" s="14">
        <v>0</v>
      </c>
      <c r="J34" s="14">
        <v>1</v>
      </c>
      <c r="O34" s="14">
        <v>64</v>
      </c>
      <c r="P34" s="14">
        <v>140</v>
      </c>
    </row>
    <row r="35" spans="1:16">
      <c r="A35" s="14">
        <v>34</v>
      </c>
      <c r="B35" s="14">
        <v>59</v>
      </c>
      <c r="C35" s="14">
        <v>1</v>
      </c>
      <c r="D35" s="14">
        <v>4</v>
      </c>
      <c r="E35" s="14">
        <v>135</v>
      </c>
      <c r="F35" s="14">
        <v>234</v>
      </c>
      <c r="G35" s="14">
        <v>0</v>
      </c>
      <c r="H35" s="14">
        <v>161</v>
      </c>
      <c r="I35" s="14">
        <v>0</v>
      </c>
      <c r="J35" s="14">
        <v>0</v>
      </c>
      <c r="O35" s="14">
        <v>59</v>
      </c>
      <c r="P35" s="14">
        <v>135</v>
      </c>
    </row>
    <row r="36" spans="1:16">
      <c r="A36" s="14">
        <v>35</v>
      </c>
      <c r="B36" s="14">
        <v>44</v>
      </c>
      <c r="C36" s="14">
        <v>1</v>
      </c>
      <c r="D36" s="14">
        <v>3</v>
      </c>
      <c r="E36" s="14">
        <v>130</v>
      </c>
      <c r="F36" s="14">
        <v>233</v>
      </c>
      <c r="G36" s="14">
        <v>0</v>
      </c>
      <c r="H36" s="14">
        <v>179</v>
      </c>
      <c r="I36" s="14">
        <v>1</v>
      </c>
      <c r="J36" s="14">
        <v>0</v>
      </c>
      <c r="O36" s="14">
        <v>44</v>
      </c>
      <c r="P36" s="14">
        <v>130</v>
      </c>
    </row>
    <row r="37" spans="1:16">
      <c r="A37" s="14">
        <v>36</v>
      </c>
      <c r="B37" s="14">
        <v>42</v>
      </c>
      <c r="C37" s="14">
        <v>1</v>
      </c>
      <c r="D37" s="14">
        <v>4</v>
      </c>
      <c r="E37" s="14">
        <v>140</v>
      </c>
      <c r="F37" s="14">
        <v>226</v>
      </c>
      <c r="G37" s="14">
        <v>0</v>
      </c>
      <c r="H37" s="14">
        <v>178</v>
      </c>
      <c r="I37" s="14">
        <v>0</v>
      </c>
      <c r="J37" s="14">
        <v>0</v>
      </c>
      <c r="O37" s="14">
        <v>42</v>
      </c>
      <c r="P37" s="14">
        <v>140</v>
      </c>
    </row>
    <row r="38" spans="1:16">
      <c r="A38" s="14">
        <v>37</v>
      </c>
      <c r="B38" s="14">
        <v>43</v>
      </c>
      <c r="C38" s="14">
        <v>1</v>
      </c>
      <c r="D38" s="14">
        <v>4</v>
      </c>
      <c r="E38" s="14">
        <v>120</v>
      </c>
      <c r="F38" s="14">
        <v>177</v>
      </c>
      <c r="G38" s="14">
        <v>0</v>
      </c>
      <c r="H38" s="14">
        <v>120</v>
      </c>
      <c r="I38" s="14">
        <v>1</v>
      </c>
      <c r="J38" s="14">
        <v>3</v>
      </c>
      <c r="O38" s="14">
        <v>43</v>
      </c>
      <c r="P38" s="14">
        <v>120</v>
      </c>
    </row>
    <row r="39" spans="1:16">
      <c r="A39" s="14">
        <v>38</v>
      </c>
      <c r="B39" s="14">
        <v>57</v>
      </c>
      <c r="C39" s="14">
        <v>1</v>
      </c>
      <c r="D39" s="14">
        <v>4</v>
      </c>
      <c r="E39" s="14">
        <v>150</v>
      </c>
      <c r="F39" s="14">
        <v>276</v>
      </c>
      <c r="G39" s="14">
        <v>0</v>
      </c>
      <c r="H39" s="14">
        <v>112</v>
      </c>
      <c r="I39" s="14">
        <v>1</v>
      </c>
      <c r="J39" s="14">
        <v>1</v>
      </c>
      <c r="O39" s="14">
        <v>57</v>
      </c>
      <c r="P39" s="14">
        <v>150</v>
      </c>
    </row>
    <row r="40" spans="1:16">
      <c r="A40" s="14">
        <v>39</v>
      </c>
      <c r="B40" s="14">
        <v>55</v>
      </c>
      <c r="C40" s="14">
        <v>1</v>
      </c>
      <c r="D40" s="14">
        <v>4</v>
      </c>
      <c r="E40" s="14">
        <v>132</v>
      </c>
      <c r="F40" s="14">
        <v>353</v>
      </c>
      <c r="G40" s="14">
        <v>0</v>
      </c>
      <c r="H40" s="14">
        <v>132</v>
      </c>
      <c r="I40" s="14">
        <v>1</v>
      </c>
      <c r="J40" s="14">
        <v>3</v>
      </c>
      <c r="O40" s="14">
        <v>55</v>
      </c>
      <c r="P40" s="14">
        <v>132</v>
      </c>
    </row>
    <row r="41" spans="1:16">
      <c r="A41" s="14">
        <v>40</v>
      </c>
      <c r="B41" s="14">
        <v>61</v>
      </c>
      <c r="C41" s="14">
        <v>1</v>
      </c>
      <c r="D41" s="14">
        <v>3</v>
      </c>
      <c r="E41" s="14">
        <v>150</v>
      </c>
      <c r="F41" s="14">
        <v>243</v>
      </c>
      <c r="G41" s="14">
        <v>1</v>
      </c>
      <c r="H41" s="14">
        <v>137</v>
      </c>
      <c r="I41" s="14">
        <v>1</v>
      </c>
      <c r="J41" s="14">
        <v>0</v>
      </c>
      <c r="O41" s="14">
        <v>61</v>
      </c>
      <c r="P41" s="14">
        <v>150</v>
      </c>
    </row>
    <row r="42" spans="1:16">
      <c r="A42" s="14">
        <v>41</v>
      </c>
      <c r="B42" s="14">
        <v>65</v>
      </c>
      <c r="C42" s="14">
        <v>0</v>
      </c>
      <c r="D42" s="14">
        <v>4</v>
      </c>
      <c r="E42" s="14">
        <v>150</v>
      </c>
      <c r="F42" s="14">
        <v>225</v>
      </c>
      <c r="G42" s="14">
        <v>0</v>
      </c>
      <c r="H42" s="14">
        <v>114</v>
      </c>
      <c r="I42" s="14">
        <v>0</v>
      </c>
      <c r="J42" s="14">
        <v>4</v>
      </c>
      <c r="O42" s="14">
        <v>65</v>
      </c>
      <c r="P42" s="14">
        <v>150</v>
      </c>
    </row>
    <row r="43" spans="1:16">
      <c r="A43" s="14">
        <v>42</v>
      </c>
      <c r="B43" s="14">
        <v>40</v>
      </c>
      <c r="C43" s="14">
        <v>1</v>
      </c>
      <c r="D43" s="14">
        <v>1</v>
      </c>
      <c r="E43" s="14">
        <v>140</v>
      </c>
      <c r="F43" s="14">
        <v>199</v>
      </c>
      <c r="G43" s="14">
        <v>0</v>
      </c>
      <c r="H43" s="14">
        <v>178</v>
      </c>
      <c r="I43" s="14">
        <v>1</v>
      </c>
      <c r="J43" s="14">
        <v>0</v>
      </c>
      <c r="O43" s="14">
        <v>40</v>
      </c>
      <c r="P43" s="14">
        <v>140</v>
      </c>
    </row>
    <row r="44" spans="1:16">
      <c r="A44" s="14">
        <v>43</v>
      </c>
      <c r="B44" s="14">
        <v>71</v>
      </c>
      <c r="C44" s="14">
        <v>0</v>
      </c>
      <c r="D44" s="14">
        <v>2</v>
      </c>
      <c r="E44" s="14">
        <v>160</v>
      </c>
      <c r="F44" s="14">
        <v>302</v>
      </c>
      <c r="G44" s="14">
        <v>0</v>
      </c>
      <c r="H44" s="14">
        <v>162</v>
      </c>
      <c r="I44" s="14">
        <v>0</v>
      </c>
      <c r="J44" s="14">
        <v>0</v>
      </c>
      <c r="O44" s="14">
        <v>71</v>
      </c>
      <c r="P44" s="14">
        <v>160</v>
      </c>
    </row>
    <row r="45" spans="1:16">
      <c r="A45" s="14">
        <v>44</v>
      </c>
      <c r="B45" s="14">
        <v>59</v>
      </c>
      <c r="C45" s="14">
        <v>1</v>
      </c>
      <c r="D45" s="14">
        <v>3</v>
      </c>
      <c r="E45" s="14">
        <v>150</v>
      </c>
      <c r="F45" s="14">
        <v>212</v>
      </c>
      <c r="G45" s="14">
        <v>1</v>
      </c>
      <c r="H45" s="14">
        <v>157</v>
      </c>
      <c r="I45" s="14">
        <v>0</v>
      </c>
      <c r="J45" s="14">
        <v>0</v>
      </c>
      <c r="O45" s="14">
        <v>59</v>
      </c>
      <c r="P45" s="14">
        <v>150</v>
      </c>
    </row>
    <row r="46" spans="1:16">
      <c r="A46" s="14">
        <v>45</v>
      </c>
      <c r="B46" s="14">
        <v>61</v>
      </c>
      <c r="C46" s="14">
        <v>0</v>
      </c>
      <c r="D46" s="14">
        <v>4</v>
      </c>
      <c r="E46" s="14">
        <v>130</v>
      </c>
      <c r="F46" s="14">
        <v>330</v>
      </c>
      <c r="G46" s="14">
        <v>0</v>
      </c>
      <c r="H46" s="14">
        <v>169</v>
      </c>
      <c r="I46" s="14">
        <v>0</v>
      </c>
      <c r="J46" s="14">
        <v>1</v>
      </c>
      <c r="O46" s="14">
        <v>61</v>
      </c>
      <c r="P46" s="14">
        <v>130</v>
      </c>
    </row>
    <row r="47" spans="1:16">
      <c r="A47" s="14">
        <v>46</v>
      </c>
      <c r="B47" s="14">
        <v>58</v>
      </c>
      <c r="C47" s="14">
        <v>1</v>
      </c>
      <c r="D47" s="14">
        <v>3</v>
      </c>
      <c r="E47" s="14">
        <v>112</v>
      </c>
      <c r="F47" s="14">
        <v>230</v>
      </c>
      <c r="G47" s="14">
        <v>0</v>
      </c>
      <c r="H47" s="14">
        <v>165</v>
      </c>
      <c r="I47" s="14">
        <v>0</v>
      </c>
      <c r="J47" s="14">
        <v>4</v>
      </c>
      <c r="O47" s="14">
        <v>58</v>
      </c>
      <c r="P47" s="14">
        <v>112</v>
      </c>
    </row>
    <row r="48" spans="1:16">
      <c r="A48" s="14">
        <v>47</v>
      </c>
      <c r="B48" s="14">
        <v>51</v>
      </c>
      <c r="C48" s="14">
        <v>1</v>
      </c>
      <c r="D48" s="14">
        <v>3</v>
      </c>
      <c r="E48" s="14">
        <v>110</v>
      </c>
      <c r="F48" s="14">
        <v>175</v>
      </c>
      <c r="G48" s="14">
        <v>0</v>
      </c>
      <c r="H48" s="14">
        <v>123</v>
      </c>
      <c r="I48" s="14">
        <v>0</v>
      </c>
      <c r="J48" s="14">
        <v>0</v>
      </c>
      <c r="O48" s="14">
        <v>51</v>
      </c>
      <c r="P48" s="14">
        <v>110</v>
      </c>
    </row>
    <row r="49" spans="1:16">
      <c r="A49" s="14">
        <v>48</v>
      </c>
      <c r="B49" s="14">
        <v>50</v>
      </c>
      <c r="C49" s="14">
        <v>1</v>
      </c>
      <c r="D49" s="14">
        <v>4</v>
      </c>
      <c r="E49" s="14">
        <v>150</v>
      </c>
      <c r="F49" s="14">
        <v>243</v>
      </c>
      <c r="G49" s="14">
        <v>0</v>
      </c>
      <c r="H49" s="14">
        <v>128</v>
      </c>
      <c r="I49" s="14">
        <v>0</v>
      </c>
      <c r="J49" s="14">
        <v>4</v>
      </c>
      <c r="O49" s="14">
        <v>50</v>
      </c>
      <c r="P49" s="14">
        <v>150</v>
      </c>
    </row>
    <row r="50" spans="1:16">
      <c r="A50" s="14">
        <v>49</v>
      </c>
      <c r="B50" s="14">
        <v>65</v>
      </c>
      <c r="C50" s="14">
        <v>0</v>
      </c>
      <c r="D50" s="14">
        <v>3</v>
      </c>
      <c r="E50" s="14">
        <v>140</v>
      </c>
      <c r="F50" s="14">
        <v>417</v>
      </c>
      <c r="G50" s="14">
        <v>1</v>
      </c>
      <c r="H50" s="14">
        <v>157</v>
      </c>
      <c r="I50" s="14">
        <v>0</v>
      </c>
      <c r="J50" s="14">
        <v>0</v>
      </c>
      <c r="O50" s="14">
        <v>65</v>
      </c>
      <c r="P50" s="14">
        <v>140</v>
      </c>
    </row>
    <row r="51" spans="1:16">
      <c r="A51" s="14">
        <v>50</v>
      </c>
      <c r="B51" s="14">
        <v>53</v>
      </c>
      <c r="C51" s="14">
        <v>1</v>
      </c>
      <c r="D51" s="14">
        <v>3</v>
      </c>
      <c r="E51" s="14">
        <v>130</v>
      </c>
      <c r="F51" s="14">
        <v>197</v>
      </c>
      <c r="G51" s="14">
        <v>1</v>
      </c>
      <c r="H51" s="14">
        <v>152</v>
      </c>
      <c r="I51" s="14">
        <v>0</v>
      </c>
      <c r="J51" s="14">
        <v>0</v>
      </c>
      <c r="O51" s="14">
        <v>53</v>
      </c>
      <c r="P51" s="14">
        <v>130</v>
      </c>
    </row>
    <row r="52" spans="1:16">
      <c r="A52" s="14">
        <v>51</v>
      </c>
      <c r="B52" s="14">
        <v>41</v>
      </c>
      <c r="C52" s="14">
        <v>0</v>
      </c>
      <c r="D52" s="14">
        <v>2</v>
      </c>
      <c r="E52" s="14">
        <v>105</v>
      </c>
      <c r="F52" s="14">
        <v>198</v>
      </c>
      <c r="G52" s="14">
        <v>0</v>
      </c>
      <c r="H52" s="14">
        <v>168</v>
      </c>
      <c r="I52" s="14">
        <v>0</v>
      </c>
      <c r="J52" s="14">
        <v>0</v>
      </c>
      <c r="O52" s="14">
        <v>41</v>
      </c>
      <c r="P52" s="14">
        <v>105</v>
      </c>
    </row>
    <row r="53" spans="1:16">
      <c r="A53" s="14">
        <v>52</v>
      </c>
      <c r="B53" s="14">
        <v>65</v>
      </c>
      <c r="C53" s="14">
        <v>1</v>
      </c>
      <c r="D53" s="14">
        <v>4</v>
      </c>
      <c r="E53" s="14">
        <v>120</v>
      </c>
      <c r="F53" s="14">
        <v>177</v>
      </c>
      <c r="G53" s="14">
        <v>0</v>
      </c>
      <c r="H53" s="14">
        <v>140</v>
      </c>
      <c r="I53" s="14">
        <v>0</v>
      </c>
      <c r="J53" s="14">
        <v>0</v>
      </c>
      <c r="O53" s="14">
        <v>65</v>
      </c>
      <c r="P53" s="14">
        <v>120</v>
      </c>
    </row>
    <row r="54" spans="1:16">
      <c r="A54" s="14">
        <v>53</v>
      </c>
      <c r="B54" s="14">
        <v>44</v>
      </c>
      <c r="C54" s="14">
        <v>1</v>
      </c>
      <c r="D54" s="14">
        <v>4</v>
      </c>
      <c r="E54" s="14">
        <v>112</v>
      </c>
      <c r="F54" s="14">
        <v>290</v>
      </c>
      <c r="G54" s="14">
        <v>0</v>
      </c>
      <c r="H54" s="14">
        <v>153</v>
      </c>
      <c r="I54" s="14">
        <v>0</v>
      </c>
      <c r="J54" s="14">
        <v>2</v>
      </c>
      <c r="O54" s="14">
        <v>44</v>
      </c>
      <c r="P54" s="14">
        <v>112</v>
      </c>
    </row>
    <row r="55" spans="1:16">
      <c r="A55" s="14">
        <v>54</v>
      </c>
      <c r="B55" s="14">
        <v>44</v>
      </c>
      <c r="C55" s="14">
        <v>1</v>
      </c>
      <c r="D55" s="14">
        <v>2</v>
      </c>
      <c r="E55" s="14">
        <v>130</v>
      </c>
      <c r="F55" s="14">
        <v>219</v>
      </c>
      <c r="G55" s="14">
        <v>0</v>
      </c>
      <c r="H55" s="14">
        <v>188</v>
      </c>
      <c r="I55" s="14">
        <v>0</v>
      </c>
      <c r="J55" s="14">
        <v>0</v>
      </c>
      <c r="O55" s="14">
        <v>44</v>
      </c>
      <c r="P55" s="14">
        <v>130</v>
      </c>
    </row>
    <row r="56" spans="1:16">
      <c r="A56" s="14">
        <v>55</v>
      </c>
      <c r="B56" s="14">
        <v>60</v>
      </c>
      <c r="C56" s="14">
        <v>1</v>
      </c>
      <c r="D56" s="14">
        <v>4</v>
      </c>
      <c r="E56" s="14">
        <v>130</v>
      </c>
      <c r="F56" s="14">
        <v>253</v>
      </c>
      <c r="G56" s="14">
        <v>0</v>
      </c>
      <c r="H56" s="14">
        <v>144</v>
      </c>
      <c r="I56" s="14">
        <v>1</v>
      </c>
      <c r="J56" s="14">
        <v>1</v>
      </c>
      <c r="O56" s="14">
        <v>60</v>
      </c>
      <c r="P56" s="14">
        <v>130</v>
      </c>
    </row>
    <row r="57" spans="1:16">
      <c r="A57" s="14">
        <v>56</v>
      </c>
      <c r="B57" s="14">
        <v>54</v>
      </c>
      <c r="C57" s="14">
        <v>1</v>
      </c>
      <c r="D57" s="14">
        <v>4</v>
      </c>
      <c r="E57" s="14">
        <v>124</v>
      </c>
      <c r="F57" s="14">
        <v>266</v>
      </c>
      <c r="G57" s="14">
        <v>0</v>
      </c>
      <c r="H57" s="14">
        <v>109</v>
      </c>
      <c r="I57" s="14">
        <v>1</v>
      </c>
      <c r="J57" s="14">
        <v>1</v>
      </c>
      <c r="O57" s="14">
        <v>54</v>
      </c>
      <c r="P57" s="14">
        <v>124</v>
      </c>
    </row>
    <row r="58" spans="1:16">
      <c r="A58" s="14">
        <v>57</v>
      </c>
      <c r="B58" s="14">
        <v>50</v>
      </c>
      <c r="C58" s="14">
        <v>1</v>
      </c>
      <c r="D58" s="14">
        <v>3</v>
      </c>
      <c r="E58" s="14">
        <v>140</v>
      </c>
      <c r="F58" s="14">
        <v>233</v>
      </c>
      <c r="G58" s="14">
        <v>0</v>
      </c>
      <c r="H58" s="14">
        <v>163</v>
      </c>
      <c r="I58" s="14">
        <v>0</v>
      </c>
      <c r="J58" s="14">
        <v>1</v>
      </c>
      <c r="O58" s="14">
        <v>50</v>
      </c>
      <c r="P58" s="14">
        <v>140</v>
      </c>
    </row>
    <row r="59" spans="1:16">
      <c r="A59" s="14">
        <v>58</v>
      </c>
      <c r="B59" s="14">
        <v>41</v>
      </c>
      <c r="C59" s="14">
        <v>1</v>
      </c>
      <c r="D59" s="14">
        <v>4</v>
      </c>
      <c r="E59" s="14">
        <v>110</v>
      </c>
      <c r="F59" s="14">
        <v>172</v>
      </c>
      <c r="G59" s="14">
        <v>0</v>
      </c>
      <c r="H59" s="14">
        <v>158</v>
      </c>
      <c r="I59" s="14">
        <v>0</v>
      </c>
      <c r="J59" s="14">
        <v>1</v>
      </c>
      <c r="O59" s="14">
        <v>41</v>
      </c>
      <c r="P59" s="14">
        <v>110</v>
      </c>
    </row>
    <row r="60" spans="1:16">
      <c r="A60" s="14">
        <v>59</v>
      </c>
      <c r="B60" s="14">
        <v>54</v>
      </c>
      <c r="C60" s="14">
        <v>1</v>
      </c>
      <c r="D60" s="14">
        <v>3</v>
      </c>
      <c r="E60" s="14">
        <v>125</v>
      </c>
      <c r="F60" s="14">
        <v>273</v>
      </c>
      <c r="G60" s="14">
        <v>0</v>
      </c>
      <c r="H60" s="14">
        <v>152</v>
      </c>
      <c r="I60" s="14">
        <v>0</v>
      </c>
      <c r="J60" s="14">
        <v>0</v>
      </c>
      <c r="O60" s="14">
        <v>54</v>
      </c>
      <c r="P60" s="14">
        <v>125</v>
      </c>
    </row>
    <row r="61" spans="1:16">
      <c r="A61" s="14">
        <v>60</v>
      </c>
      <c r="B61" s="14">
        <v>51</v>
      </c>
      <c r="C61" s="14">
        <v>1</v>
      </c>
      <c r="D61" s="14">
        <v>1</v>
      </c>
      <c r="E61" s="14">
        <v>125</v>
      </c>
      <c r="F61" s="14">
        <v>213</v>
      </c>
      <c r="G61" s="14">
        <v>0</v>
      </c>
      <c r="H61" s="14">
        <v>125</v>
      </c>
      <c r="I61" s="14">
        <v>1</v>
      </c>
      <c r="J61" s="14">
        <v>0</v>
      </c>
      <c r="O61" s="14">
        <v>51</v>
      </c>
      <c r="P61" s="14">
        <v>125</v>
      </c>
    </row>
    <row r="62" spans="1:16">
      <c r="A62" s="14">
        <v>61</v>
      </c>
      <c r="B62" s="14">
        <v>51</v>
      </c>
      <c r="C62" s="14">
        <v>0</v>
      </c>
      <c r="D62" s="14">
        <v>4</v>
      </c>
      <c r="E62" s="14">
        <v>130</v>
      </c>
      <c r="F62" s="14">
        <v>305</v>
      </c>
      <c r="G62" s="14">
        <v>0</v>
      </c>
      <c r="H62" s="14">
        <v>142</v>
      </c>
      <c r="I62" s="14">
        <v>1</v>
      </c>
      <c r="J62" s="14">
        <v>2</v>
      </c>
      <c r="O62" s="14">
        <v>51</v>
      </c>
      <c r="P62" s="14">
        <v>130</v>
      </c>
    </row>
    <row r="63" spans="1:16">
      <c r="A63" s="14">
        <v>62</v>
      </c>
      <c r="B63" s="14">
        <v>46</v>
      </c>
      <c r="C63" s="14">
        <v>0</v>
      </c>
      <c r="D63" s="14">
        <v>3</v>
      </c>
      <c r="E63" s="14">
        <v>142</v>
      </c>
      <c r="F63" s="14">
        <v>177</v>
      </c>
      <c r="G63" s="14">
        <v>0</v>
      </c>
      <c r="H63" s="14">
        <v>160</v>
      </c>
      <c r="I63" s="14">
        <v>1</v>
      </c>
      <c r="J63" s="14">
        <v>0</v>
      </c>
      <c r="O63" s="14">
        <v>46</v>
      </c>
      <c r="P63" s="14">
        <v>142</v>
      </c>
    </row>
    <row r="64" spans="1:16">
      <c r="A64" s="14">
        <v>63</v>
      </c>
      <c r="B64" s="14">
        <v>58</v>
      </c>
      <c r="C64" s="14">
        <v>1</v>
      </c>
      <c r="D64" s="14">
        <v>4</v>
      </c>
      <c r="E64" s="14">
        <v>128</v>
      </c>
      <c r="F64" s="14">
        <v>216</v>
      </c>
      <c r="G64" s="14">
        <v>0</v>
      </c>
      <c r="H64" s="14">
        <v>131</v>
      </c>
      <c r="I64" s="14">
        <v>1</v>
      </c>
      <c r="J64" s="14">
        <v>1</v>
      </c>
      <c r="O64" s="14">
        <v>58</v>
      </c>
      <c r="P64" s="14">
        <v>128</v>
      </c>
    </row>
    <row r="65" spans="1:16">
      <c r="A65" s="14">
        <v>64</v>
      </c>
      <c r="B65" s="14">
        <v>54</v>
      </c>
      <c r="C65" s="14">
        <v>0</v>
      </c>
      <c r="D65" s="14">
        <v>3</v>
      </c>
      <c r="E65" s="14">
        <v>135</v>
      </c>
      <c r="F65" s="14">
        <v>304</v>
      </c>
      <c r="G65" s="14">
        <v>1</v>
      </c>
      <c r="H65" s="14">
        <v>170</v>
      </c>
      <c r="I65" s="14">
        <v>0</v>
      </c>
      <c r="J65" s="14">
        <v>0</v>
      </c>
      <c r="O65" s="14">
        <v>54</v>
      </c>
      <c r="P65" s="14">
        <v>135</v>
      </c>
    </row>
    <row r="66" spans="1:16">
      <c r="A66" s="14">
        <v>65</v>
      </c>
      <c r="B66" s="14">
        <v>54</v>
      </c>
      <c r="C66" s="14">
        <v>1</v>
      </c>
      <c r="D66" s="14">
        <v>4</v>
      </c>
      <c r="E66" s="14">
        <v>120</v>
      </c>
      <c r="F66" s="14">
        <v>188</v>
      </c>
      <c r="G66" s="14">
        <v>0</v>
      </c>
      <c r="H66" s="14">
        <v>113</v>
      </c>
      <c r="I66" s="14">
        <v>0</v>
      </c>
      <c r="J66" s="14">
        <v>2</v>
      </c>
      <c r="O66" s="14">
        <v>54</v>
      </c>
      <c r="P66" s="14">
        <v>120</v>
      </c>
    </row>
    <row r="67" spans="1:16">
      <c r="A67" s="14">
        <v>66</v>
      </c>
      <c r="B67" s="14">
        <v>60</v>
      </c>
      <c r="C67" s="14">
        <v>1</v>
      </c>
      <c r="D67" s="14">
        <v>4</v>
      </c>
      <c r="E67" s="14">
        <v>145</v>
      </c>
      <c r="F67" s="14">
        <v>282</v>
      </c>
      <c r="G67" s="14">
        <v>0</v>
      </c>
      <c r="H67" s="14">
        <v>142</v>
      </c>
      <c r="I67" s="14">
        <v>1</v>
      </c>
      <c r="J67" s="14">
        <v>2</v>
      </c>
      <c r="O67" s="14">
        <v>60</v>
      </c>
      <c r="P67" s="14">
        <v>145</v>
      </c>
    </row>
    <row r="68" spans="1:16">
      <c r="A68" s="14">
        <v>67</v>
      </c>
      <c r="B68" s="14">
        <v>60</v>
      </c>
      <c r="C68" s="14">
        <v>1</v>
      </c>
      <c r="D68" s="14">
        <v>3</v>
      </c>
      <c r="E68" s="14">
        <v>140</v>
      </c>
      <c r="F68" s="14">
        <v>185</v>
      </c>
      <c r="G68" s="14">
        <v>0</v>
      </c>
      <c r="H68" s="14">
        <v>155</v>
      </c>
      <c r="I68" s="14">
        <v>0</v>
      </c>
      <c r="J68" s="14">
        <v>1</v>
      </c>
      <c r="O68" s="14">
        <v>60</v>
      </c>
      <c r="P68" s="14">
        <v>140</v>
      </c>
    </row>
    <row r="69" spans="1:16">
      <c r="A69" s="14">
        <v>68</v>
      </c>
      <c r="B69" s="14">
        <v>54</v>
      </c>
      <c r="C69" s="14">
        <v>1</v>
      </c>
      <c r="D69" s="14">
        <v>3</v>
      </c>
      <c r="E69" s="14">
        <v>150</v>
      </c>
      <c r="F69" s="14">
        <v>232</v>
      </c>
      <c r="G69" s="14">
        <v>0</v>
      </c>
      <c r="H69" s="14">
        <v>165</v>
      </c>
      <c r="I69" s="14">
        <v>0</v>
      </c>
      <c r="J69" s="14">
        <v>0</v>
      </c>
      <c r="O69" s="14">
        <v>54</v>
      </c>
      <c r="P69" s="14">
        <v>150</v>
      </c>
    </row>
    <row r="70" spans="1:16">
      <c r="A70" s="14">
        <v>69</v>
      </c>
      <c r="B70" s="14">
        <v>59</v>
      </c>
      <c r="C70" s="14">
        <v>1</v>
      </c>
      <c r="D70" s="14">
        <v>4</v>
      </c>
      <c r="E70" s="14">
        <v>170</v>
      </c>
      <c r="F70" s="14">
        <v>326</v>
      </c>
      <c r="G70" s="14">
        <v>0</v>
      </c>
      <c r="H70" s="14">
        <v>140</v>
      </c>
      <c r="I70" s="14">
        <v>1</v>
      </c>
      <c r="J70" s="14">
        <v>2</v>
      </c>
      <c r="O70" s="14">
        <v>59</v>
      </c>
      <c r="P70" s="14">
        <v>170</v>
      </c>
    </row>
    <row r="71" spans="1:16">
      <c r="A71" s="14">
        <v>70</v>
      </c>
      <c r="B71" s="14">
        <v>46</v>
      </c>
      <c r="C71" s="14">
        <v>1</v>
      </c>
      <c r="D71" s="14">
        <v>3</v>
      </c>
      <c r="E71" s="14">
        <v>150</v>
      </c>
      <c r="F71" s="14">
        <v>231</v>
      </c>
      <c r="G71" s="14">
        <v>0</v>
      </c>
      <c r="H71" s="14">
        <v>147</v>
      </c>
      <c r="I71" s="14">
        <v>0</v>
      </c>
      <c r="J71" s="14">
        <v>1</v>
      </c>
      <c r="O71" s="14">
        <v>46</v>
      </c>
      <c r="P71" s="14">
        <v>150</v>
      </c>
    </row>
    <row r="72" spans="1:16">
      <c r="A72" s="14">
        <v>71</v>
      </c>
      <c r="B72" s="14">
        <v>65</v>
      </c>
      <c r="C72" s="14">
        <v>0</v>
      </c>
      <c r="D72" s="14">
        <v>3</v>
      </c>
      <c r="E72" s="14">
        <v>155</v>
      </c>
      <c r="F72" s="14">
        <v>269</v>
      </c>
      <c r="G72" s="14">
        <v>0</v>
      </c>
      <c r="H72" s="14">
        <v>148</v>
      </c>
      <c r="I72" s="14">
        <v>0</v>
      </c>
      <c r="J72" s="14">
        <v>0</v>
      </c>
      <c r="O72" s="14">
        <v>65</v>
      </c>
      <c r="P72" s="14">
        <v>155</v>
      </c>
    </row>
    <row r="73" spans="1:16">
      <c r="A73" s="14">
        <v>72</v>
      </c>
      <c r="B73" s="14">
        <v>67</v>
      </c>
      <c r="C73" s="14">
        <v>1</v>
      </c>
      <c r="D73" s="14">
        <v>4</v>
      </c>
      <c r="E73" s="14">
        <v>125</v>
      </c>
      <c r="F73" s="14">
        <v>254</v>
      </c>
      <c r="G73" s="14">
        <v>1</v>
      </c>
      <c r="H73" s="14">
        <v>163</v>
      </c>
      <c r="I73" s="14">
        <v>0</v>
      </c>
      <c r="J73" s="14">
        <v>3</v>
      </c>
      <c r="O73" s="14">
        <v>67</v>
      </c>
      <c r="P73" s="14">
        <v>125</v>
      </c>
    </row>
    <row r="74" spans="1:16">
      <c r="A74" s="14">
        <v>73</v>
      </c>
      <c r="B74" s="14">
        <v>62</v>
      </c>
      <c r="C74" s="14">
        <v>1</v>
      </c>
      <c r="D74" s="14">
        <v>4</v>
      </c>
      <c r="E74" s="14">
        <v>120</v>
      </c>
      <c r="F74" s="14">
        <v>267</v>
      </c>
      <c r="G74" s="14">
        <v>0</v>
      </c>
      <c r="H74" s="14">
        <v>99</v>
      </c>
      <c r="I74" s="14">
        <v>1</v>
      </c>
      <c r="J74" s="14">
        <v>1</v>
      </c>
      <c r="O74" s="14">
        <v>62</v>
      </c>
      <c r="P74" s="14">
        <v>120</v>
      </c>
    </row>
    <row r="75" spans="1:16">
      <c r="A75" s="14">
        <v>74</v>
      </c>
      <c r="B75" s="14">
        <v>65</v>
      </c>
      <c r="C75" s="14">
        <v>1</v>
      </c>
      <c r="D75" s="14">
        <v>4</v>
      </c>
      <c r="E75" s="14">
        <v>110</v>
      </c>
      <c r="F75" s="14">
        <v>248</v>
      </c>
      <c r="G75" s="14">
        <v>0</v>
      </c>
      <c r="H75" s="14">
        <v>158</v>
      </c>
      <c r="I75" s="14">
        <v>0</v>
      </c>
      <c r="J75" s="14">
        <v>1</v>
      </c>
      <c r="O75" s="14">
        <v>65</v>
      </c>
      <c r="P75" s="14">
        <v>110</v>
      </c>
    </row>
    <row r="76" spans="1:16">
      <c r="A76" s="14">
        <v>75</v>
      </c>
      <c r="B76" s="14">
        <v>44</v>
      </c>
      <c r="C76" s="14">
        <v>1</v>
      </c>
      <c r="D76" s="14">
        <v>4</v>
      </c>
      <c r="E76" s="14">
        <v>110</v>
      </c>
      <c r="F76" s="14">
        <v>197</v>
      </c>
      <c r="G76" s="14">
        <v>0</v>
      </c>
      <c r="H76" s="14">
        <v>177</v>
      </c>
      <c r="I76" s="14">
        <v>0</v>
      </c>
      <c r="J76" s="14">
        <v>1</v>
      </c>
      <c r="O76" s="14">
        <v>44</v>
      </c>
      <c r="P76" s="14">
        <v>110</v>
      </c>
    </row>
    <row r="77" spans="1:16">
      <c r="A77" s="14">
        <v>76</v>
      </c>
      <c r="B77" s="14">
        <v>65</v>
      </c>
      <c r="C77" s="14">
        <v>0</v>
      </c>
      <c r="D77" s="14">
        <v>3</v>
      </c>
      <c r="E77" s="14">
        <v>160</v>
      </c>
      <c r="F77" s="14">
        <v>360</v>
      </c>
      <c r="G77" s="14">
        <v>0</v>
      </c>
      <c r="H77" s="14">
        <v>151</v>
      </c>
      <c r="I77" s="14">
        <v>0</v>
      </c>
      <c r="J77" s="14">
        <v>0</v>
      </c>
      <c r="O77" s="14">
        <v>65</v>
      </c>
      <c r="P77" s="14">
        <v>160</v>
      </c>
    </row>
    <row r="78" spans="1:16">
      <c r="A78" s="14">
        <v>77</v>
      </c>
      <c r="B78" s="14">
        <v>60</v>
      </c>
      <c r="C78" s="14">
        <v>1</v>
      </c>
      <c r="D78" s="14">
        <v>4</v>
      </c>
      <c r="E78" s="14">
        <v>125</v>
      </c>
      <c r="F78" s="14">
        <v>258</v>
      </c>
      <c r="G78" s="14">
        <v>0</v>
      </c>
      <c r="H78" s="14">
        <v>141</v>
      </c>
      <c r="I78" s="14">
        <v>1</v>
      </c>
      <c r="J78" s="14">
        <v>1</v>
      </c>
      <c r="O78" s="14">
        <v>60</v>
      </c>
      <c r="P78" s="14">
        <v>125</v>
      </c>
    </row>
    <row r="79" spans="1:16">
      <c r="A79" s="14">
        <v>78</v>
      </c>
      <c r="B79" s="14">
        <v>51</v>
      </c>
      <c r="C79" s="14">
        <v>0</v>
      </c>
      <c r="D79" s="14">
        <v>3</v>
      </c>
      <c r="E79" s="14">
        <v>140</v>
      </c>
      <c r="F79" s="14">
        <v>308</v>
      </c>
      <c r="G79" s="14">
        <v>0</v>
      </c>
      <c r="H79" s="14">
        <v>142</v>
      </c>
      <c r="I79" s="14">
        <v>0</v>
      </c>
      <c r="J79" s="14">
        <v>0</v>
      </c>
      <c r="O79" s="14">
        <v>51</v>
      </c>
      <c r="P79" s="14">
        <v>140</v>
      </c>
    </row>
    <row r="80" spans="1:16">
      <c r="A80" s="14">
        <v>79</v>
      </c>
      <c r="B80" s="14">
        <v>48</v>
      </c>
      <c r="C80" s="14">
        <v>1</v>
      </c>
      <c r="D80" s="14">
        <v>2</v>
      </c>
      <c r="E80" s="14">
        <v>130</v>
      </c>
      <c r="F80" s="14">
        <v>245</v>
      </c>
      <c r="G80" s="14">
        <v>0</v>
      </c>
      <c r="H80" s="14">
        <v>180</v>
      </c>
      <c r="I80" s="14">
        <v>0</v>
      </c>
      <c r="J80" s="14">
        <v>0</v>
      </c>
      <c r="O80" s="14">
        <v>48</v>
      </c>
      <c r="P80" s="14">
        <v>130</v>
      </c>
    </row>
    <row r="81" spans="1:16">
      <c r="A81" s="14">
        <v>80</v>
      </c>
      <c r="B81" s="14">
        <v>58</v>
      </c>
      <c r="C81" s="14">
        <v>1</v>
      </c>
      <c r="D81" s="14">
        <v>4</v>
      </c>
      <c r="E81" s="14">
        <v>150</v>
      </c>
      <c r="F81" s="14">
        <v>270</v>
      </c>
      <c r="G81" s="14">
        <v>0</v>
      </c>
      <c r="H81" s="14">
        <v>111</v>
      </c>
      <c r="I81" s="14">
        <v>1</v>
      </c>
      <c r="J81" s="14">
        <v>3</v>
      </c>
      <c r="O81" s="14">
        <v>58</v>
      </c>
      <c r="P81" s="14">
        <v>150</v>
      </c>
    </row>
    <row r="82" spans="1:16">
      <c r="A82" s="14">
        <v>81</v>
      </c>
      <c r="B82" s="14">
        <v>45</v>
      </c>
      <c r="C82" s="14">
        <v>1</v>
      </c>
      <c r="D82" s="14">
        <v>4</v>
      </c>
      <c r="E82" s="14">
        <v>104</v>
      </c>
      <c r="F82" s="14">
        <v>208</v>
      </c>
      <c r="G82" s="14">
        <v>0</v>
      </c>
      <c r="H82" s="14">
        <v>148</v>
      </c>
      <c r="I82" s="14">
        <v>1</v>
      </c>
      <c r="J82" s="14">
        <v>0</v>
      </c>
      <c r="O82" s="14">
        <v>45</v>
      </c>
      <c r="P82" s="14">
        <v>104</v>
      </c>
    </row>
    <row r="83" spans="1:16">
      <c r="A83" s="14">
        <v>82</v>
      </c>
      <c r="B83" s="14">
        <v>53</v>
      </c>
      <c r="C83" s="14">
        <v>0</v>
      </c>
      <c r="D83" s="14">
        <v>4</v>
      </c>
      <c r="E83" s="14">
        <v>130</v>
      </c>
      <c r="F83" s="14">
        <v>264</v>
      </c>
      <c r="G83" s="14">
        <v>0</v>
      </c>
      <c r="H83" s="14">
        <v>143</v>
      </c>
      <c r="I83" s="14">
        <v>0</v>
      </c>
      <c r="J83" s="14">
        <v>0</v>
      </c>
      <c r="O83" s="14">
        <v>53</v>
      </c>
      <c r="P83" s="14">
        <v>130</v>
      </c>
    </row>
    <row r="84" spans="1:16">
      <c r="A84" s="14">
        <v>83</v>
      </c>
      <c r="B84" s="14">
        <v>39</v>
      </c>
      <c r="C84" s="14">
        <v>1</v>
      </c>
      <c r="D84" s="14">
        <v>3</v>
      </c>
      <c r="E84" s="14">
        <v>140</v>
      </c>
      <c r="F84" s="14">
        <v>321</v>
      </c>
      <c r="G84" s="14">
        <v>0</v>
      </c>
      <c r="H84" s="14">
        <v>182</v>
      </c>
      <c r="I84" s="14">
        <v>0</v>
      </c>
      <c r="J84" s="14">
        <v>0</v>
      </c>
      <c r="O84" s="14">
        <v>39</v>
      </c>
      <c r="P84" s="14">
        <v>140</v>
      </c>
    </row>
    <row r="85" spans="1:16">
      <c r="A85" s="14">
        <v>84</v>
      </c>
      <c r="B85" s="14">
        <v>68</v>
      </c>
      <c r="C85" s="14">
        <v>1</v>
      </c>
      <c r="D85" s="14">
        <v>3</v>
      </c>
      <c r="E85" s="14">
        <v>180</v>
      </c>
      <c r="F85" s="14">
        <v>274</v>
      </c>
      <c r="G85" s="14">
        <v>1</v>
      </c>
      <c r="H85" s="14">
        <v>150</v>
      </c>
      <c r="I85" s="14">
        <v>1</v>
      </c>
      <c r="J85" s="14">
        <v>3</v>
      </c>
      <c r="O85" s="14">
        <v>68</v>
      </c>
      <c r="P85" s="14">
        <v>180</v>
      </c>
    </row>
    <row r="86" spans="1:16">
      <c r="A86" s="14">
        <v>85</v>
      </c>
      <c r="B86" s="14">
        <v>52</v>
      </c>
      <c r="C86" s="14">
        <v>1</v>
      </c>
      <c r="D86" s="14">
        <v>2</v>
      </c>
      <c r="E86" s="14">
        <v>120</v>
      </c>
      <c r="F86" s="14">
        <v>325</v>
      </c>
      <c r="G86" s="14">
        <v>0</v>
      </c>
      <c r="H86" s="14">
        <v>172</v>
      </c>
      <c r="I86" s="14">
        <v>0</v>
      </c>
      <c r="J86" s="14">
        <v>0</v>
      </c>
      <c r="O86" s="14">
        <v>52</v>
      </c>
      <c r="P86" s="14">
        <v>120</v>
      </c>
    </row>
    <row r="87" spans="1:16">
      <c r="A87" s="14">
        <v>86</v>
      </c>
      <c r="B87" s="14">
        <v>44</v>
      </c>
      <c r="C87" s="14">
        <v>1</v>
      </c>
      <c r="D87" s="14">
        <v>3</v>
      </c>
      <c r="E87" s="14">
        <v>140</v>
      </c>
      <c r="F87" s="14">
        <v>235</v>
      </c>
      <c r="G87" s="14">
        <v>0</v>
      </c>
      <c r="H87" s="14">
        <v>180</v>
      </c>
      <c r="I87" s="14">
        <v>0</v>
      </c>
      <c r="J87" s="14">
        <v>0</v>
      </c>
      <c r="O87" s="14">
        <v>44</v>
      </c>
      <c r="P87" s="14">
        <v>140</v>
      </c>
    </row>
    <row r="88" spans="1:16">
      <c r="A88" s="14">
        <v>87</v>
      </c>
      <c r="B88" s="14">
        <v>47</v>
      </c>
      <c r="C88" s="14">
        <v>1</v>
      </c>
      <c r="D88" s="14">
        <v>3</v>
      </c>
      <c r="E88" s="14">
        <v>138</v>
      </c>
      <c r="F88" s="14">
        <v>257</v>
      </c>
      <c r="G88" s="14">
        <v>0</v>
      </c>
      <c r="H88" s="14">
        <v>156</v>
      </c>
      <c r="I88" s="14">
        <v>0</v>
      </c>
      <c r="J88" s="14">
        <v>0</v>
      </c>
      <c r="O88" s="14">
        <v>47</v>
      </c>
      <c r="P88" s="14">
        <v>138</v>
      </c>
    </row>
    <row r="89" spans="1:16">
      <c r="A89" s="14">
        <v>88</v>
      </c>
      <c r="B89" s="14">
        <v>53</v>
      </c>
      <c r="C89" s="14">
        <v>0</v>
      </c>
      <c r="D89" s="14">
        <v>3</v>
      </c>
      <c r="E89" s="14">
        <v>128</v>
      </c>
      <c r="F89" s="14">
        <v>216</v>
      </c>
      <c r="G89" s="14">
        <v>0</v>
      </c>
      <c r="H89" s="14">
        <v>115</v>
      </c>
      <c r="I89" s="14">
        <v>0</v>
      </c>
      <c r="J89" s="14">
        <v>0</v>
      </c>
      <c r="O89" s="14">
        <v>53</v>
      </c>
      <c r="P89" s="14">
        <v>128</v>
      </c>
    </row>
    <row r="90" spans="1:16">
      <c r="A90" s="14">
        <v>89</v>
      </c>
      <c r="B90" s="14">
        <v>53</v>
      </c>
      <c r="C90" s="14">
        <v>0</v>
      </c>
      <c r="D90" s="14">
        <v>4</v>
      </c>
      <c r="E90" s="14">
        <v>138</v>
      </c>
      <c r="F90" s="14">
        <v>234</v>
      </c>
      <c r="G90" s="14">
        <v>0</v>
      </c>
      <c r="H90" s="14">
        <v>160</v>
      </c>
      <c r="I90" s="14">
        <v>0</v>
      </c>
      <c r="J90" s="14">
        <v>0</v>
      </c>
      <c r="O90" s="14">
        <v>53</v>
      </c>
      <c r="P90" s="14">
        <v>138</v>
      </c>
    </row>
    <row r="91" spans="1:16">
      <c r="A91" s="14">
        <v>90</v>
      </c>
      <c r="B91" s="14">
        <v>51</v>
      </c>
      <c r="C91" s="14">
        <v>0</v>
      </c>
      <c r="D91" s="14">
        <v>3</v>
      </c>
      <c r="E91" s="14">
        <v>130</v>
      </c>
      <c r="F91" s="14">
        <v>256</v>
      </c>
      <c r="G91" s="14">
        <v>0</v>
      </c>
      <c r="H91" s="14">
        <v>149</v>
      </c>
      <c r="I91" s="14">
        <v>0</v>
      </c>
      <c r="J91" s="14">
        <v>0</v>
      </c>
      <c r="O91" s="14">
        <v>51</v>
      </c>
      <c r="P91" s="14">
        <v>130</v>
      </c>
    </row>
    <row r="92" spans="1:16">
      <c r="A92" s="14">
        <v>91</v>
      </c>
      <c r="B92" s="14">
        <v>66</v>
      </c>
      <c r="C92" s="14">
        <v>1</v>
      </c>
      <c r="D92" s="14">
        <v>4</v>
      </c>
      <c r="E92" s="14">
        <v>120</v>
      </c>
      <c r="F92" s="14">
        <v>302</v>
      </c>
      <c r="G92" s="14">
        <v>0</v>
      </c>
      <c r="H92" s="14">
        <v>151</v>
      </c>
      <c r="I92" s="14">
        <v>0</v>
      </c>
      <c r="J92" s="14">
        <v>0</v>
      </c>
      <c r="O92" s="14">
        <v>66</v>
      </c>
      <c r="P92" s="14">
        <v>120</v>
      </c>
    </row>
    <row r="93" spans="1:16">
      <c r="A93" s="14">
        <v>92</v>
      </c>
      <c r="B93" s="14">
        <v>62</v>
      </c>
      <c r="C93" s="14">
        <v>0</v>
      </c>
      <c r="D93" s="14">
        <v>4</v>
      </c>
      <c r="E93" s="14">
        <v>160</v>
      </c>
      <c r="F93" s="14">
        <v>164</v>
      </c>
      <c r="G93" s="14">
        <v>0</v>
      </c>
      <c r="H93" s="14">
        <v>145</v>
      </c>
      <c r="I93" s="14">
        <v>0</v>
      </c>
      <c r="J93" s="14">
        <v>3</v>
      </c>
      <c r="O93" s="14">
        <v>62</v>
      </c>
      <c r="P93" s="14">
        <v>160</v>
      </c>
    </row>
    <row r="94" spans="1:16">
      <c r="A94" s="14">
        <v>93</v>
      </c>
      <c r="B94" s="14">
        <v>62</v>
      </c>
      <c r="C94" s="14">
        <v>1</v>
      </c>
      <c r="D94" s="14">
        <v>3</v>
      </c>
      <c r="E94" s="14">
        <v>130</v>
      </c>
      <c r="F94" s="14">
        <v>231</v>
      </c>
      <c r="G94" s="14">
        <v>0</v>
      </c>
      <c r="H94" s="14">
        <v>146</v>
      </c>
      <c r="I94" s="14">
        <v>0</v>
      </c>
      <c r="J94" s="14">
        <v>0</v>
      </c>
      <c r="O94" s="14">
        <v>62</v>
      </c>
      <c r="P94" s="14">
        <v>130</v>
      </c>
    </row>
    <row r="95" spans="1:16">
      <c r="A95" s="14">
        <v>94</v>
      </c>
      <c r="B95" s="14">
        <v>44</v>
      </c>
      <c r="C95" s="14">
        <v>0</v>
      </c>
      <c r="D95" s="14">
        <v>3</v>
      </c>
      <c r="E95" s="14">
        <v>108</v>
      </c>
      <c r="F95" s="14">
        <v>141</v>
      </c>
      <c r="G95" s="14">
        <v>0</v>
      </c>
      <c r="H95" s="14">
        <v>175</v>
      </c>
      <c r="I95" s="14">
        <v>0</v>
      </c>
      <c r="J95" s="14">
        <v>0</v>
      </c>
      <c r="O95" s="14">
        <v>44</v>
      </c>
      <c r="P95" s="14">
        <v>108</v>
      </c>
    </row>
    <row r="96" spans="1:16">
      <c r="A96" s="14">
        <v>95</v>
      </c>
      <c r="B96" s="14">
        <v>63</v>
      </c>
      <c r="C96" s="14">
        <v>0</v>
      </c>
      <c r="D96" s="14">
        <v>3</v>
      </c>
      <c r="E96" s="14">
        <v>135</v>
      </c>
      <c r="F96" s="14">
        <v>252</v>
      </c>
      <c r="G96" s="14">
        <v>0</v>
      </c>
      <c r="H96" s="14">
        <v>172</v>
      </c>
      <c r="I96" s="14">
        <v>0</v>
      </c>
      <c r="J96" s="14">
        <v>0</v>
      </c>
      <c r="O96" s="14">
        <v>63</v>
      </c>
      <c r="P96" s="14">
        <v>135</v>
      </c>
    </row>
    <row r="97" spans="1:16">
      <c r="A97" s="14">
        <v>96</v>
      </c>
      <c r="B97" s="14">
        <v>52</v>
      </c>
      <c r="C97" s="14">
        <v>1</v>
      </c>
      <c r="D97" s="14">
        <v>4</v>
      </c>
      <c r="E97" s="14">
        <v>128</v>
      </c>
      <c r="F97" s="14">
        <v>255</v>
      </c>
      <c r="G97" s="14">
        <v>0</v>
      </c>
      <c r="H97" s="14">
        <v>161</v>
      </c>
      <c r="I97" s="14">
        <v>1</v>
      </c>
      <c r="J97" s="14">
        <v>1</v>
      </c>
      <c r="O97" s="14">
        <v>52</v>
      </c>
      <c r="P97" s="14">
        <v>128</v>
      </c>
    </row>
    <row r="98" spans="1:16">
      <c r="A98" s="14">
        <v>97</v>
      </c>
      <c r="B98" s="14">
        <v>59</v>
      </c>
      <c r="C98" s="14">
        <v>1</v>
      </c>
      <c r="D98" s="14">
        <v>4</v>
      </c>
      <c r="E98" s="14">
        <v>110</v>
      </c>
      <c r="F98" s="14">
        <v>239</v>
      </c>
      <c r="G98" s="14">
        <v>0</v>
      </c>
      <c r="H98" s="14">
        <v>142</v>
      </c>
      <c r="I98" s="14">
        <v>1</v>
      </c>
      <c r="J98" s="14">
        <v>2</v>
      </c>
      <c r="O98" s="14">
        <v>59</v>
      </c>
      <c r="P98" s="14">
        <v>110</v>
      </c>
    </row>
    <row r="99" spans="1:16">
      <c r="A99" s="14">
        <v>98</v>
      </c>
      <c r="B99" s="14">
        <v>60</v>
      </c>
      <c r="C99" s="14">
        <v>0</v>
      </c>
      <c r="D99" s="14">
        <v>4</v>
      </c>
      <c r="E99" s="14">
        <v>150</v>
      </c>
      <c r="F99" s="14">
        <v>258</v>
      </c>
      <c r="G99" s="14">
        <v>0</v>
      </c>
      <c r="H99" s="14">
        <v>157</v>
      </c>
      <c r="I99" s="14">
        <v>0</v>
      </c>
      <c r="J99" s="14">
        <v>3</v>
      </c>
      <c r="O99" s="14">
        <v>60</v>
      </c>
      <c r="P99" s="14">
        <v>150</v>
      </c>
    </row>
    <row r="100" spans="1:16">
      <c r="A100" s="14">
        <v>99</v>
      </c>
      <c r="B100" s="14">
        <v>52</v>
      </c>
      <c r="C100" s="14">
        <v>1</v>
      </c>
      <c r="D100" s="14">
        <v>2</v>
      </c>
      <c r="E100" s="14">
        <v>134</v>
      </c>
      <c r="F100" s="14">
        <v>201</v>
      </c>
      <c r="G100" s="14">
        <v>0</v>
      </c>
      <c r="H100" s="14">
        <v>158</v>
      </c>
      <c r="I100" s="14">
        <v>0</v>
      </c>
      <c r="J100" s="14">
        <v>0</v>
      </c>
      <c r="O100" s="14">
        <v>52</v>
      </c>
      <c r="P100" s="14">
        <v>134</v>
      </c>
    </row>
    <row r="101" spans="1:16">
      <c r="A101" s="14">
        <v>100</v>
      </c>
      <c r="B101" s="14">
        <v>48</v>
      </c>
      <c r="C101" s="14">
        <v>1</v>
      </c>
      <c r="D101" s="14">
        <v>4</v>
      </c>
      <c r="E101" s="14">
        <v>122</v>
      </c>
      <c r="F101" s="14">
        <v>222</v>
      </c>
      <c r="G101" s="14">
        <v>0</v>
      </c>
      <c r="H101" s="14">
        <v>186</v>
      </c>
      <c r="I101" s="14">
        <v>0</v>
      </c>
      <c r="J101" s="14">
        <v>0</v>
      </c>
      <c r="O101" s="14">
        <v>48</v>
      </c>
      <c r="P101" s="14">
        <v>122</v>
      </c>
    </row>
    <row r="102" spans="1:16">
      <c r="A102" s="14">
        <v>101</v>
      </c>
      <c r="B102" s="14">
        <v>45</v>
      </c>
      <c r="C102" s="14">
        <v>1</v>
      </c>
      <c r="D102" s="14">
        <v>4</v>
      </c>
      <c r="E102" s="14">
        <v>115</v>
      </c>
      <c r="F102" s="14">
        <v>260</v>
      </c>
      <c r="G102" s="14">
        <v>0</v>
      </c>
      <c r="H102" s="14">
        <v>185</v>
      </c>
      <c r="I102" s="14">
        <v>0</v>
      </c>
      <c r="J102" s="14">
        <v>0</v>
      </c>
      <c r="O102" s="14">
        <v>45</v>
      </c>
      <c r="P102" s="14">
        <v>115</v>
      </c>
    </row>
    <row r="103" spans="1:16">
      <c r="A103" s="14">
        <v>102</v>
      </c>
      <c r="B103" s="14">
        <v>34</v>
      </c>
      <c r="C103" s="14">
        <v>1</v>
      </c>
      <c r="D103" s="14">
        <v>1</v>
      </c>
      <c r="E103" s="14">
        <v>118</v>
      </c>
      <c r="F103" s="14">
        <v>182</v>
      </c>
      <c r="G103" s="14">
        <v>0</v>
      </c>
      <c r="H103" s="14">
        <v>174</v>
      </c>
      <c r="I103" s="14">
        <v>0</v>
      </c>
      <c r="J103" s="14">
        <v>0</v>
      </c>
      <c r="O103" s="14">
        <v>34</v>
      </c>
      <c r="P103" s="14">
        <v>118</v>
      </c>
    </row>
    <row r="104" spans="1:16">
      <c r="A104" s="14">
        <v>103</v>
      </c>
      <c r="B104" s="14">
        <v>57</v>
      </c>
      <c r="C104" s="14">
        <v>0</v>
      </c>
      <c r="D104" s="14">
        <v>4</v>
      </c>
      <c r="E104" s="14">
        <v>128</v>
      </c>
      <c r="F104" s="14">
        <v>303</v>
      </c>
      <c r="G104" s="14">
        <v>0</v>
      </c>
      <c r="H104" s="14">
        <v>159</v>
      </c>
      <c r="I104" s="14">
        <v>0</v>
      </c>
      <c r="J104" s="14">
        <v>0</v>
      </c>
      <c r="O104" s="14">
        <v>57</v>
      </c>
      <c r="P104" s="14">
        <v>128</v>
      </c>
    </row>
    <row r="105" spans="1:16">
      <c r="A105" s="14">
        <v>104</v>
      </c>
      <c r="B105" s="14">
        <v>71</v>
      </c>
      <c r="C105" s="14">
        <v>0</v>
      </c>
      <c r="D105" s="14">
        <v>3</v>
      </c>
      <c r="E105" s="14">
        <v>110</v>
      </c>
      <c r="F105" s="14">
        <v>265</v>
      </c>
      <c r="G105" s="14">
        <v>1</v>
      </c>
      <c r="H105" s="14">
        <v>130</v>
      </c>
      <c r="I105" s="14">
        <v>0</v>
      </c>
      <c r="J105" s="14">
        <v>0</v>
      </c>
      <c r="O105" s="14">
        <v>71</v>
      </c>
      <c r="P105" s="14">
        <v>110</v>
      </c>
    </row>
    <row r="106" spans="1:16">
      <c r="A106" s="14">
        <v>105</v>
      </c>
      <c r="B106" s="14">
        <v>49</v>
      </c>
      <c r="C106" s="14">
        <v>1</v>
      </c>
      <c r="D106" s="14">
        <v>3</v>
      </c>
      <c r="E106" s="14">
        <v>120</v>
      </c>
      <c r="F106" s="14">
        <v>188</v>
      </c>
      <c r="G106" s="14">
        <v>0</v>
      </c>
      <c r="H106" s="14">
        <v>139</v>
      </c>
      <c r="I106" s="14">
        <v>0</v>
      </c>
      <c r="J106" s="14">
        <v>3</v>
      </c>
      <c r="O106" s="14">
        <v>49</v>
      </c>
      <c r="P106" s="14">
        <v>120</v>
      </c>
    </row>
    <row r="107" spans="1:16">
      <c r="A107" s="14">
        <v>106</v>
      </c>
      <c r="B107" s="14">
        <v>54</v>
      </c>
      <c r="C107" s="14">
        <v>1</v>
      </c>
      <c r="D107" s="14">
        <v>2</v>
      </c>
      <c r="E107" s="14">
        <v>108</v>
      </c>
      <c r="F107" s="14">
        <v>309</v>
      </c>
      <c r="G107" s="14">
        <v>0</v>
      </c>
      <c r="H107" s="14">
        <v>156</v>
      </c>
      <c r="I107" s="14">
        <v>0</v>
      </c>
      <c r="J107" s="14">
        <v>0</v>
      </c>
      <c r="O107" s="14">
        <v>54</v>
      </c>
      <c r="P107" s="14">
        <v>108</v>
      </c>
    </row>
    <row r="108" spans="1:16">
      <c r="A108" s="14">
        <v>107</v>
      </c>
      <c r="B108" s="14">
        <v>59</v>
      </c>
      <c r="C108" s="14">
        <v>1</v>
      </c>
      <c r="D108" s="14">
        <v>4</v>
      </c>
      <c r="E108" s="14">
        <v>140</v>
      </c>
      <c r="F108" s="14">
        <v>177</v>
      </c>
      <c r="G108" s="14">
        <v>0</v>
      </c>
      <c r="H108" s="14">
        <v>162</v>
      </c>
      <c r="I108" s="14">
        <v>1</v>
      </c>
      <c r="J108" s="14">
        <v>2</v>
      </c>
      <c r="O108" s="14">
        <v>59</v>
      </c>
      <c r="P108" s="14">
        <v>140</v>
      </c>
    </row>
    <row r="109" spans="1:16">
      <c r="A109" s="14">
        <v>108</v>
      </c>
      <c r="B109" s="14">
        <v>57</v>
      </c>
      <c r="C109" s="14">
        <v>1</v>
      </c>
      <c r="D109" s="14">
        <v>3</v>
      </c>
      <c r="E109" s="14">
        <v>128</v>
      </c>
      <c r="F109" s="14">
        <v>229</v>
      </c>
      <c r="G109" s="14">
        <v>0</v>
      </c>
      <c r="H109" s="14">
        <v>150</v>
      </c>
      <c r="I109" s="14">
        <v>0</v>
      </c>
      <c r="J109" s="14">
        <v>1</v>
      </c>
      <c r="O109" s="14">
        <v>57</v>
      </c>
      <c r="P109" s="14">
        <v>128</v>
      </c>
    </row>
    <row r="110" spans="1:16">
      <c r="A110" s="14">
        <v>109</v>
      </c>
      <c r="B110" s="14">
        <v>61</v>
      </c>
      <c r="C110" s="14">
        <v>1</v>
      </c>
      <c r="D110" s="14">
        <v>4</v>
      </c>
      <c r="E110" s="14">
        <v>120</v>
      </c>
      <c r="F110" s="14">
        <v>260</v>
      </c>
      <c r="G110" s="14">
        <v>0</v>
      </c>
      <c r="H110" s="14">
        <v>140</v>
      </c>
      <c r="I110" s="14">
        <v>1</v>
      </c>
      <c r="J110" s="14">
        <v>2</v>
      </c>
      <c r="O110" s="14">
        <v>61</v>
      </c>
      <c r="P110" s="14">
        <v>120</v>
      </c>
    </row>
    <row r="111" spans="1:16">
      <c r="A111" s="14">
        <v>110</v>
      </c>
      <c r="B111" s="14">
        <v>39</v>
      </c>
      <c r="C111" s="14">
        <v>1</v>
      </c>
      <c r="D111" s="14">
        <v>4</v>
      </c>
      <c r="E111" s="14">
        <v>118</v>
      </c>
      <c r="F111" s="14">
        <v>219</v>
      </c>
      <c r="G111" s="14">
        <v>0</v>
      </c>
      <c r="H111" s="14">
        <v>140</v>
      </c>
      <c r="I111" s="14">
        <v>0</v>
      </c>
      <c r="J111" s="14">
        <v>3</v>
      </c>
      <c r="O111" s="14">
        <v>39</v>
      </c>
      <c r="P111" s="14">
        <v>118</v>
      </c>
    </row>
    <row r="112" spans="1:16">
      <c r="A112" s="14">
        <v>111</v>
      </c>
      <c r="B112" s="14">
        <v>61</v>
      </c>
      <c r="C112" s="14">
        <v>0</v>
      </c>
      <c r="D112" s="14">
        <v>4</v>
      </c>
      <c r="E112" s="14">
        <v>145</v>
      </c>
      <c r="F112" s="14">
        <v>307</v>
      </c>
      <c r="G112" s="14">
        <v>0</v>
      </c>
      <c r="H112" s="14">
        <v>146</v>
      </c>
      <c r="I112" s="14">
        <v>1</v>
      </c>
      <c r="J112" s="14">
        <v>1</v>
      </c>
      <c r="O112" s="14">
        <v>61</v>
      </c>
      <c r="P112" s="14">
        <v>145</v>
      </c>
    </row>
    <row r="113" spans="1:16">
      <c r="A113" s="14">
        <v>112</v>
      </c>
      <c r="B113" s="14">
        <v>56</v>
      </c>
      <c r="C113" s="14">
        <v>1</v>
      </c>
      <c r="D113" s="14">
        <v>4</v>
      </c>
      <c r="E113" s="14">
        <v>125</v>
      </c>
      <c r="F113" s="14">
        <v>249</v>
      </c>
      <c r="G113" s="14">
        <v>1</v>
      </c>
      <c r="H113" s="14">
        <v>144</v>
      </c>
      <c r="I113" s="14">
        <v>1</v>
      </c>
      <c r="J113" s="14">
        <v>1</v>
      </c>
      <c r="O113" s="14">
        <v>56</v>
      </c>
      <c r="P113" s="14">
        <v>125</v>
      </c>
    </row>
    <row r="114" spans="1:16">
      <c r="A114" s="14">
        <v>113</v>
      </c>
      <c r="B114" s="14">
        <v>52</v>
      </c>
      <c r="C114" s="14">
        <v>1</v>
      </c>
      <c r="D114" s="14">
        <v>1</v>
      </c>
      <c r="E114" s="14">
        <v>118</v>
      </c>
      <c r="F114" s="14">
        <v>186</v>
      </c>
      <c r="G114" s="14">
        <v>0</v>
      </c>
      <c r="H114" s="14">
        <v>190</v>
      </c>
      <c r="I114" s="14">
        <v>0</v>
      </c>
      <c r="J114" s="14">
        <v>0</v>
      </c>
      <c r="O114" s="14">
        <v>52</v>
      </c>
      <c r="P114" s="14">
        <v>118</v>
      </c>
    </row>
    <row r="115" spans="1:16">
      <c r="A115" s="14">
        <v>114</v>
      </c>
      <c r="B115" s="14">
        <v>43</v>
      </c>
      <c r="C115" s="14">
        <v>0</v>
      </c>
      <c r="D115" s="14">
        <v>4</v>
      </c>
      <c r="E115" s="14">
        <v>132</v>
      </c>
      <c r="F115" s="14">
        <v>341</v>
      </c>
      <c r="G115" s="14">
        <v>1</v>
      </c>
      <c r="H115" s="14">
        <v>136</v>
      </c>
      <c r="I115" s="14">
        <v>1</v>
      </c>
      <c r="J115" s="14">
        <v>2</v>
      </c>
      <c r="O115" s="14">
        <v>43</v>
      </c>
      <c r="P115" s="14">
        <v>132</v>
      </c>
    </row>
    <row r="116" spans="1:16">
      <c r="A116" s="14">
        <v>115</v>
      </c>
      <c r="B116" s="14">
        <v>62</v>
      </c>
      <c r="C116" s="14">
        <v>0</v>
      </c>
      <c r="D116" s="14">
        <v>3</v>
      </c>
      <c r="E116" s="14">
        <v>130</v>
      </c>
      <c r="F116" s="14">
        <v>263</v>
      </c>
      <c r="G116" s="14">
        <v>0</v>
      </c>
      <c r="H116" s="14">
        <v>97</v>
      </c>
      <c r="I116" s="14">
        <v>0</v>
      </c>
      <c r="J116" s="14">
        <v>2</v>
      </c>
      <c r="O116" s="14">
        <v>62</v>
      </c>
      <c r="P116" s="14">
        <v>130</v>
      </c>
    </row>
    <row r="117" spans="1:16">
      <c r="A117" s="14">
        <v>116</v>
      </c>
      <c r="B117" s="14">
        <v>41</v>
      </c>
      <c r="C117" s="14">
        <v>1</v>
      </c>
      <c r="D117" s="14">
        <v>2</v>
      </c>
      <c r="E117" s="14">
        <v>135</v>
      </c>
      <c r="F117" s="14">
        <v>203</v>
      </c>
      <c r="G117" s="14">
        <v>0</v>
      </c>
      <c r="H117" s="14">
        <v>132</v>
      </c>
      <c r="I117" s="14">
        <v>0</v>
      </c>
      <c r="J117" s="14">
        <v>0</v>
      </c>
      <c r="O117" s="14">
        <v>41</v>
      </c>
      <c r="P117" s="14">
        <v>135</v>
      </c>
    </row>
    <row r="118" spans="1:16">
      <c r="A118" s="14">
        <v>117</v>
      </c>
      <c r="B118" s="14">
        <v>58</v>
      </c>
      <c r="C118" s="14">
        <v>1</v>
      </c>
      <c r="D118" s="14">
        <v>3</v>
      </c>
      <c r="E118" s="14">
        <v>140</v>
      </c>
      <c r="F118" s="14">
        <v>211</v>
      </c>
      <c r="G118" s="14">
        <v>1</v>
      </c>
      <c r="H118" s="14">
        <v>165</v>
      </c>
      <c r="I118" s="14">
        <v>0</v>
      </c>
      <c r="J118" s="14">
        <v>0</v>
      </c>
      <c r="O118" s="14">
        <v>58</v>
      </c>
      <c r="P118" s="14">
        <v>140</v>
      </c>
    </row>
    <row r="119" spans="1:16">
      <c r="A119" s="14">
        <v>118</v>
      </c>
      <c r="B119" s="14">
        <v>35</v>
      </c>
      <c r="C119" s="14">
        <v>0</v>
      </c>
      <c r="D119" s="14">
        <v>4</v>
      </c>
      <c r="E119" s="14">
        <v>138</v>
      </c>
      <c r="F119" s="14">
        <v>183</v>
      </c>
      <c r="G119" s="14">
        <v>0</v>
      </c>
      <c r="H119" s="14">
        <v>182</v>
      </c>
      <c r="I119" s="14">
        <v>0</v>
      </c>
      <c r="J119" s="14">
        <v>0</v>
      </c>
      <c r="O119" s="14">
        <v>35</v>
      </c>
      <c r="P119" s="14">
        <v>138</v>
      </c>
    </row>
    <row r="120" spans="1:16">
      <c r="A120" s="14">
        <v>119</v>
      </c>
      <c r="B120" s="14">
        <v>63</v>
      </c>
      <c r="C120" s="14">
        <v>1</v>
      </c>
      <c r="D120" s="14">
        <v>4</v>
      </c>
      <c r="E120" s="14">
        <v>130</v>
      </c>
      <c r="F120" s="14">
        <v>330</v>
      </c>
      <c r="G120" s="14">
        <v>1</v>
      </c>
      <c r="H120" s="14">
        <v>132</v>
      </c>
      <c r="I120" s="14">
        <v>1</v>
      </c>
      <c r="J120" s="14">
        <v>3</v>
      </c>
      <c r="O120" s="14">
        <v>63</v>
      </c>
      <c r="P120" s="14">
        <v>130</v>
      </c>
    </row>
    <row r="121" spans="1:16">
      <c r="A121" s="14">
        <v>120</v>
      </c>
      <c r="B121" s="14">
        <v>65</v>
      </c>
      <c r="C121" s="14">
        <v>1</v>
      </c>
      <c r="D121" s="14">
        <v>4</v>
      </c>
      <c r="E121" s="14">
        <v>135</v>
      </c>
      <c r="F121" s="14">
        <v>254</v>
      </c>
      <c r="G121" s="14">
        <v>0</v>
      </c>
      <c r="H121" s="14">
        <v>127</v>
      </c>
      <c r="I121" s="14">
        <v>0</v>
      </c>
      <c r="J121" s="14">
        <v>2</v>
      </c>
      <c r="O121" s="14">
        <v>65</v>
      </c>
      <c r="P121" s="14">
        <v>135</v>
      </c>
    </row>
    <row r="122" spans="1:16">
      <c r="A122" s="14">
        <v>121</v>
      </c>
      <c r="B122" s="14">
        <v>48</v>
      </c>
      <c r="C122" s="14">
        <v>1</v>
      </c>
      <c r="D122" s="14">
        <v>4</v>
      </c>
      <c r="E122" s="14">
        <v>130</v>
      </c>
      <c r="F122" s="14">
        <v>256</v>
      </c>
      <c r="G122" s="14">
        <v>1</v>
      </c>
      <c r="H122" s="14">
        <v>150</v>
      </c>
      <c r="I122" s="14">
        <v>1</v>
      </c>
      <c r="J122" s="14">
        <v>3</v>
      </c>
      <c r="O122" s="14">
        <v>48</v>
      </c>
      <c r="P122" s="14">
        <v>130</v>
      </c>
    </row>
    <row r="123" spans="1:16">
      <c r="A123" s="14">
        <v>122</v>
      </c>
      <c r="B123" s="14">
        <v>63</v>
      </c>
      <c r="C123" s="14">
        <v>0</v>
      </c>
      <c r="D123" s="14">
        <v>4</v>
      </c>
      <c r="E123" s="14">
        <v>150</v>
      </c>
      <c r="F123" s="14">
        <v>407</v>
      </c>
      <c r="G123" s="14">
        <v>0</v>
      </c>
      <c r="H123" s="14">
        <v>154</v>
      </c>
      <c r="I123" s="14">
        <v>0</v>
      </c>
      <c r="J123" s="14">
        <v>4</v>
      </c>
      <c r="O123" s="14">
        <v>63</v>
      </c>
      <c r="P123" s="14">
        <v>150</v>
      </c>
    </row>
    <row r="124" spans="1:16">
      <c r="A124" s="14">
        <v>123</v>
      </c>
      <c r="B124" s="14">
        <v>51</v>
      </c>
      <c r="C124" s="14">
        <v>1</v>
      </c>
      <c r="D124" s="14">
        <v>3</v>
      </c>
      <c r="E124" s="14">
        <v>100</v>
      </c>
      <c r="F124" s="14">
        <v>222</v>
      </c>
      <c r="G124" s="14">
        <v>0</v>
      </c>
      <c r="H124" s="14">
        <v>143</v>
      </c>
      <c r="I124" s="14">
        <v>1</v>
      </c>
      <c r="J124" s="14">
        <v>0</v>
      </c>
      <c r="O124" s="14">
        <v>51</v>
      </c>
      <c r="P124" s="14">
        <v>100</v>
      </c>
    </row>
    <row r="125" spans="1:16">
      <c r="A125" s="14">
        <v>124</v>
      </c>
      <c r="B125" s="14">
        <v>55</v>
      </c>
      <c r="C125" s="14">
        <v>1</v>
      </c>
      <c r="D125" s="14">
        <v>4</v>
      </c>
      <c r="E125" s="14">
        <v>140</v>
      </c>
      <c r="F125" s="14">
        <v>217</v>
      </c>
      <c r="G125" s="14">
        <v>0</v>
      </c>
      <c r="H125" s="14">
        <v>111</v>
      </c>
      <c r="I125" s="14">
        <v>1</v>
      </c>
      <c r="J125" s="14">
        <v>3</v>
      </c>
      <c r="O125" s="14">
        <v>55</v>
      </c>
      <c r="P125" s="14">
        <v>140</v>
      </c>
    </row>
    <row r="126" spans="1:16">
      <c r="A126" s="14">
        <v>125</v>
      </c>
      <c r="B126" s="14">
        <v>65</v>
      </c>
      <c r="C126" s="14">
        <v>1</v>
      </c>
      <c r="D126" s="14">
        <v>1</v>
      </c>
      <c r="E126" s="14">
        <v>138</v>
      </c>
      <c r="F126" s="14">
        <v>282</v>
      </c>
      <c r="G126" s="14">
        <v>1</v>
      </c>
      <c r="H126" s="14">
        <v>174</v>
      </c>
      <c r="I126" s="14">
        <v>0</v>
      </c>
      <c r="J126" s="14">
        <v>1</v>
      </c>
      <c r="O126" s="14">
        <v>65</v>
      </c>
      <c r="P126" s="14">
        <v>138</v>
      </c>
    </row>
    <row r="127" spans="1:16">
      <c r="A127" s="14">
        <v>126</v>
      </c>
      <c r="B127" s="14">
        <v>45</v>
      </c>
      <c r="C127" s="14">
        <v>0</v>
      </c>
      <c r="D127" s="14">
        <v>2</v>
      </c>
      <c r="E127" s="14">
        <v>130</v>
      </c>
      <c r="F127" s="14">
        <v>234</v>
      </c>
      <c r="G127" s="14">
        <v>0</v>
      </c>
      <c r="H127" s="14">
        <v>175</v>
      </c>
      <c r="I127" s="14">
        <v>0</v>
      </c>
      <c r="J127" s="14">
        <v>0</v>
      </c>
      <c r="O127" s="14">
        <v>45</v>
      </c>
      <c r="P127" s="14">
        <v>130</v>
      </c>
    </row>
    <row r="128" spans="1:16">
      <c r="A128" s="14">
        <v>127</v>
      </c>
      <c r="B128" s="14">
        <v>56</v>
      </c>
      <c r="C128" s="14">
        <v>0</v>
      </c>
      <c r="D128" s="14">
        <v>4</v>
      </c>
      <c r="E128" s="14">
        <v>200</v>
      </c>
      <c r="F128" s="14">
        <v>288</v>
      </c>
      <c r="G128" s="14">
        <v>1</v>
      </c>
      <c r="H128" s="14">
        <v>133</v>
      </c>
      <c r="I128" s="14">
        <v>1</v>
      </c>
      <c r="J128" s="14">
        <v>3</v>
      </c>
      <c r="O128" s="14">
        <v>56</v>
      </c>
      <c r="P128" s="14">
        <v>200</v>
      </c>
    </row>
    <row r="129" spans="1:16">
      <c r="A129" s="14">
        <v>128</v>
      </c>
      <c r="B129" s="14">
        <v>54</v>
      </c>
      <c r="C129" s="14">
        <v>1</v>
      </c>
      <c r="D129" s="14">
        <v>4</v>
      </c>
      <c r="E129" s="14">
        <v>110</v>
      </c>
      <c r="F129" s="14">
        <v>239</v>
      </c>
      <c r="G129" s="14">
        <v>0</v>
      </c>
      <c r="H129" s="14">
        <v>126</v>
      </c>
      <c r="I129" s="14">
        <v>1</v>
      </c>
      <c r="J129" s="14">
        <v>3</v>
      </c>
      <c r="O129" s="14">
        <v>54</v>
      </c>
      <c r="P129" s="14">
        <v>110</v>
      </c>
    </row>
    <row r="130" spans="1:16">
      <c r="A130" s="14">
        <v>129</v>
      </c>
      <c r="B130" s="14">
        <v>44</v>
      </c>
      <c r="C130" s="14">
        <v>1</v>
      </c>
      <c r="D130" s="14">
        <v>2</v>
      </c>
      <c r="E130" s="14">
        <v>120</v>
      </c>
      <c r="F130" s="14">
        <v>220</v>
      </c>
      <c r="G130" s="14">
        <v>0</v>
      </c>
      <c r="H130" s="14">
        <v>170</v>
      </c>
      <c r="I130" s="14">
        <v>0</v>
      </c>
      <c r="J130" s="14">
        <v>0</v>
      </c>
      <c r="O130" s="14">
        <v>44</v>
      </c>
      <c r="P130" s="14">
        <v>120</v>
      </c>
    </row>
    <row r="131" spans="1:16">
      <c r="A131" s="14">
        <v>130</v>
      </c>
      <c r="B131" s="14">
        <v>62</v>
      </c>
      <c r="C131" s="14">
        <v>0</v>
      </c>
      <c r="D131" s="14">
        <v>4</v>
      </c>
      <c r="E131" s="14">
        <v>124</v>
      </c>
      <c r="F131" s="14">
        <v>209</v>
      </c>
      <c r="G131" s="14">
        <v>0</v>
      </c>
      <c r="H131" s="14">
        <v>163</v>
      </c>
      <c r="I131" s="14">
        <v>0</v>
      </c>
      <c r="J131" s="14">
        <v>0</v>
      </c>
      <c r="O131" s="14">
        <v>62</v>
      </c>
      <c r="P131" s="14">
        <v>124</v>
      </c>
    </row>
    <row r="132" spans="1:16">
      <c r="A132" s="14">
        <v>131</v>
      </c>
      <c r="B132" s="14">
        <v>54</v>
      </c>
      <c r="C132" s="14">
        <v>1</v>
      </c>
      <c r="D132" s="14">
        <v>3</v>
      </c>
      <c r="E132" s="14">
        <v>120</v>
      </c>
      <c r="F132" s="14">
        <v>258</v>
      </c>
      <c r="G132" s="14">
        <v>0</v>
      </c>
      <c r="H132" s="14">
        <v>147</v>
      </c>
      <c r="I132" s="14">
        <v>0</v>
      </c>
      <c r="J132" s="14">
        <v>0</v>
      </c>
      <c r="O132" s="14">
        <v>54</v>
      </c>
      <c r="P132" s="14">
        <v>120</v>
      </c>
    </row>
    <row r="133" spans="1:16">
      <c r="A133" s="14">
        <v>132</v>
      </c>
      <c r="B133" s="14">
        <v>51</v>
      </c>
      <c r="C133" s="14">
        <v>1</v>
      </c>
      <c r="D133" s="14">
        <v>3</v>
      </c>
      <c r="E133" s="14">
        <v>94</v>
      </c>
      <c r="F133" s="14">
        <v>227</v>
      </c>
      <c r="G133" s="14">
        <v>0</v>
      </c>
      <c r="H133" s="14">
        <v>154</v>
      </c>
      <c r="I133" s="14">
        <v>1</v>
      </c>
      <c r="J133" s="14">
        <v>0</v>
      </c>
      <c r="O133" s="14">
        <v>51</v>
      </c>
      <c r="P133" s="14">
        <v>94</v>
      </c>
    </row>
    <row r="134" spans="1:16">
      <c r="A134" s="14">
        <v>133</v>
      </c>
      <c r="B134" s="14">
        <v>29</v>
      </c>
      <c r="C134" s="14">
        <v>1</v>
      </c>
      <c r="D134" s="14">
        <v>2</v>
      </c>
      <c r="E134" s="14">
        <v>130</v>
      </c>
      <c r="F134" s="14">
        <v>204</v>
      </c>
      <c r="G134" s="14">
        <v>0</v>
      </c>
      <c r="H134" s="14">
        <v>202</v>
      </c>
      <c r="I134" s="14">
        <v>0</v>
      </c>
      <c r="J134" s="14">
        <v>0</v>
      </c>
      <c r="O134" s="14">
        <v>29</v>
      </c>
      <c r="P134" s="14">
        <v>130</v>
      </c>
    </row>
    <row r="135" spans="1:16">
      <c r="A135" s="14">
        <v>134</v>
      </c>
      <c r="B135" s="14">
        <v>51</v>
      </c>
      <c r="C135" s="14">
        <v>1</v>
      </c>
      <c r="D135" s="14">
        <v>4</v>
      </c>
      <c r="E135" s="14">
        <v>140</v>
      </c>
      <c r="F135" s="14">
        <v>261</v>
      </c>
      <c r="G135" s="14">
        <v>0</v>
      </c>
      <c r="H135" s="14">
        <v>186</v>
      </c>
      <c r="I135" s="14">
        <v>1</v>
      </c>
      <c r="J135" s="14">
        <v>0</v>
      </c>
      <c r="O135" s="14">
        <v>51</v>
      </c>
      <c r="P135" s="14">
        <v>140</v>
      </c>
    </row>
    <row r="136" spans="1:16">
      <c r="A136" s="14">
        <v>135</v>
      </c>
      <c r="B136" s="14">
        <v>43</v>
      </c>
      <c r="C136" s="14">
        <v>0</v>
      </c>
      <c r="D136" s="14">
        <v>3</v>
      </c>
      <c r="E136" s="14">
        <v>122</v>
      </c>
      <c r="F136" s="14">
        <v>213</v>
      </c>
      <c r="G136" s="14">
        <v>0</v>
      </c>
      <c r="H136" s="14">
        <v>165</v>
      </c>
      <c r="I136" s="14">
        <v>0</v>
      </c>
      <c r="J136" s="14">
        <v>0</v>
      </c>
      <c r="O136" s="14">
        <v>43</v>
      </c>
      <c r="P136" s="14">
        <v>122</v>
      </c>
    </row>
    <row r="137" spans="1:16">
      <c r="A137" s="14">
        <v>136</v>
      </c>
      <c r="B137" s="14">
        <v>55</v>
      </c>
      <c r="C137" s="14">
        <v>0</v>
      </c>
      <c r="D137" s="14">
        <v>2</v>
      </c>
      <c r="E137" s="14">
        <v>135</v>
      </c>
      <c r="F137" s="14">
        <v>250</v>
      </c>
      <c r="G137" s="14">
        <v>0</v>
      </c>
      <c r="H137" s="14">
        <v>161</v>
      </c>
      <c r="I137" s="14">
        <v>0</v>
      </c>
      <c r="J137" s="14">
        <v>0</v>
      </c>
      <c r="O137" s="14">
        <v>55</v>
      </c>
      <c r="P137" s="14">
        <v>135</v>
      </c>
    </row>
    <row r="138" spans="1:16">
      <c r="A138" s="14">
        <v>137</v>
      </c>
      <c r="B138" s="14">
        <v>70</v>
      </c>
      <c r="C138" s="14">
        <v>1</v>
      </c>
      <c r="D138" s="14">
        <v>4</v>
      </c>
      <c r="E138" s="14">
        <v>145</v>
      </c>
      <c r="F138" s="14">
        <v>174</v>
      </c>
      <c r="G138" s="14">
        <v>0</v>
      </c>
      <c r="H138" s="14">
        <v>125</v>
      </c>
      <c r="I138" s="14">
        <v>1</v>
      </c>
      <c r="J138" s="14">
        <v>4</v>
      </c>
      <c r="O138" s="14">
        <v>70</v>
      </c>
      <c r="P138" s="14">
        <v>145</v>
      </c>
    </row>
    <row r="139" spans="1:16">
      <c r="A139" s="14">
        <v>138</v>
      </c>
      <c r="B139" s="14">
        <v>62</v>
      </c>
      <c r="C139" s="14">
        <v>1</v>
      </c>
      <c r="D139" s="14">
        <v>2</v>
      </c>
      <c r="E139" s="14">
        <v>120</v>
      </c>
      <c r="F139" s="14">
        <v>281</v>
      </c>
      <c r="G139" s="14">
        <v>0</v>
      </c>
      <c r="H139" s="14">
        <v>103</v>
      </c>
      <c r="I139" s="14">
        <v>0</v>
      </c>
      <c r="J139" s="14">
        <v>3</v>
      </c>
      <c r="O139" s="14">
        <v>62</v>
      </c>
      <c r="P139" s="14">
        <v>120</v>
      </c>
    </row>
    <row r="140" spans="1:16">
      <c r="A140" s="14">
        <v>139</v>
      </c>
      <c r="B140" s="14">
        <v>35</v>
      </c>
      <c r="C140" s="14">
        <v>1</v>
      </c>
      <c r="D140" s="14">
        <v>4</v>
      </c>
      <c r="E140" s="14">
        <v>120</v>
      </c>
      <c r="F140" s="14">
        <v>198</v>
      </c>
      <c r="G140" s="14">
        <v>0</v>
      </c>
      <c r="H140" s="14">
        <v>130</v>
      </c>
      <c r="I140" s="14">
        <v>1</v>
      </c>
      <c r="J140" s="14">
        <v>1</v>
      </c>
      <c r="O140" s="14">
        <v>35</v>
      </c>
      <c r="P140" s="14">
        <v>120</v>
      </c>
    </row>
    <row r="141" spans="1:16">
      <c r="A141" s="14">
        <v>140</v>
      </c>
      <c r="B141" s="14">
        <v>51</v>
      </c>
      <c r="C141" s="14">
        <v>1</v>
      </c>
      <c r="D141" s="14">
        <v>3</v>
      </c>
      <c r="E141" s="14">
        <v>125</v>
      </c>
      <c r="F141" s="14">
        <v>245</v>
      </c>
      <c r="G141" s="14">
        <v>1</v>
      </c>
      <c r="H141" s="14">
        <v>166</v>
      </c>
      <c r="I141" s="14">
        <v>0</v>
      </c>
      <c r="J141" s="14">
        <v>0</v>
      </c>
      <c r="O141" s="14">
        <v>51</v>
      </c>
      <c r="P141" s="14">
        <v>125</v>
      </c>
    </row>
    <row r="142" spans="1:16">
      <c r="A142" s="14">
        <v>141</v>
      </c>
      <c r="B142" s="14">
        <v>59</v>
      </c>
      <c r="C142" s="14">
        <v>1</v>
      </c>
      <c r="D142" s="14">
        <v>2</v>
      </c>
      <c r="E142" s="14">
        <v>140</v>
      </c>
      <c r="F142" s="14">
        <v>221</v>
      </c>
      <c r="G142" s="14">
        <v>0</v>
      </c>
      <c r="H142" s="14">
        <v>164</v>
      </c>
      <c r="I142" s="14">
        <v>1</v>
      </c>
      <c r="J142" s="14">
        <v>0</v>
      </c>
      <c r="O142" s="14">
        <v>59</v>
      </c>
      <c r="P142" s="14">
        <v>140</v>
      </c>
    </row>
    <row r="143" spans="1:16">
      <c r="A143" s="14">
        <v>142</v>
      </c>
      <c r="B143" s="14">
        <v>59</v>
      </c>
      <c r="C143" s="14">
        <v>1</v>
      </c>
      <c r="D143" s="14">
        <v>1</v>
      </c>
      <c r="E143" s="14">
        <v>170</v>
      </c>
      <c r="F143" s="14">
        <v>288</v>
      </c>
      <c r="G143" s="14">
        <v>0</v>
      </c>
      <c r="H143" s="14">
        <v>159</v>
      </c>
      <c r="I143" s="14">
        <v>0</v>
      </c>
      <c r="J143" s="14">
        <v>1</v>
      </c>
      <c r="O143" s="14">
        <v>59</v>
      </c>
      <c r="P143" s="14">
        <v>170</v>
      </c>
    </row>
    <row r="144" spans="1:16">
      <c r="A144" s="14">
        <v>143</v>
      </c>
      <c r="B144" s="14">
        <v>52</v>
      </c>
      <c r="C144" s="14">
        <v>1</v>
      </c>
      <c r="D144" s="14">
        <v>2</v>
      </c>
      <c r="E144" s="14">
        <v>128</v>
      </c>
      <c r="F144" s="14">
        <v>205</v>
      </c>
      <c r="G144" s="14">
        <v>1</v>
      </c>
      <c r="H144" s="14">
        <v>184</v>
      </c>
      <c r="I144" s="14">
        <v>0</v>
      </c>
      <c r="J144" s="14">
        <v>0</v>
      </c>
      <c r="O144" s="14">
        <v>52</v>
      </c>
      <c r="P144" s="14">
        <v>128</v>
      </c>
    </row>
    <row r="145" spans="1:16">
      <c r="A145" s="14">
        <v>144</v>
      </c>
      <c r="B145" s="14">
        <v>64</v>
      </c>
      <c r="C145" s="14">
        <v>1</v>
      </c>
      <c r="D145" s="14">
        <v>3</v>
      </c>
      <c r="E145" s="14">
        <v>125</v>
      </c>
      <c r="F145" s="14">
        <v>309</v>
      </c>
      <c r="G145" s="14">
        <v>0</v>
      </c>
      <c r="H145" s="14">
        <v>131</v>
      </c>
      <c r="I145" s="14">
        <v>1</v>
      </c>
      <c r="J145" s="14">
        <v>1</v>
      </c>
      <c r="O145" s="14">
        <v>64</v>
      </c>
      <c r="P145" s="14">
        <v>125</v>
      </c>
    </row>
    <row r="146" spans="1:16">
      <c r="A146" s="14">
        <v>145</v>
      </c>
      <c r="B146" s="14">
        <v>58</v>
      </c>
      <c r="C146" s="14">
        <v>1</v>
      </c>
      <c r="D146" s="14">
        <v>3</v>
      </c>
      <c r="E146" s="14">
        <v>105</v>
      </c>
      <c r="F146" s="14">
        <v>240</v>
      </c>
      <c r="G146" s="14">
        <v>0</v>
      </c>
      <c r="H146" s="14">
        <v>154</v>
      </c>
      <c r="I146" s="14">
        <v>1</v>
      </c>
      <c r="J146" s="14">
        <v>0</v>
      </c>
      <c r="O146" s="14">
        <v>58</v>
      </c>
      <c r="P146" s="14">
        <v>105</v>
      </c>
    </row>
    <row r="147" spans="1:16">
      <c r="A147" s="14">
        <v>146</v>
      </c>
      <c r="B147" s="14">
        <v>47</v>
      </c>
      <c r="C147" s="14">
        <v>1</v>
      </c>
      <c r="D147" s="14">
        <v>3</v>
      </c>
      <c r="E147" s="14">
        <v>108</v>
      </c>
      <c r="F147" s="14">
        <v>243</v>
      </c>
      <c r="G147" s="14">
        <v>0</v>
      </c>
      <c r="H147" s="14">
        <v>152</v>
      </c>
      <c r="I147" s="14">
        <v>0</v>
      </c>
      <c r="J147" s="14">
        <v>1</v>
      </c>
      <c r="O147" s="14">
        <v>47</v>
      </c>
      <c r="P147" s="14">
        <v>108</v>
      </c>
    </row>
    <row r="148" spans="1:16">
      <c r="A148" s="14">
        <v>147</v>
      </c>
      <c r="B148" s="14">
        <v>57</v>
      </c>
      <c r="C148" s="14">
        <v>1</v>
      </c>
      <c r="D148" s="14">
        <v>4</v>
      </c>
      <c r="E148" s="14">
        <v>165</v>
      </c>
      <c r="F148" s="14">
        <v>289</v>
      </c>
      <c r="G148" s="14">
        <v>1</v>
      </c>
      <c r="H148" s="14">
        <v>124</v>
      </c>
      <c r="I148" s="14">
        <v>0</v>
      </c>
      <c r="J148" s="14">
        <v>4</v>
      </c>
      <c r="O148" s="14">
        <v>57</v>
      </c>
      <c r="P148" s="14">
        <v>165</v>
      </c>
    </row>
    <row r="149" spans="1:16">
      <c r="A149" s="14">
        <v>148</v>
      </c>
      <c r="B149" s="14">
        <v>41</v>
      </c>
      <c r="C149" s="14">
        <v>1</v>
      </c>
      <c r="D149" s="14">
        <v>3</v>
      </c>
      <c r="E149" s="14">
        <v>112</v>
      </c>
      <c r="F149" s="14">
        <v>250</v>
      </c>
      <c r="G149" s="14">
        <v>0</v>
      </c>
      <c r="H149" s="14">
        <v>179</v>
      </c>
      <c r="I149" s="14">
        <v>0</v>
      </c>
      <c r="J149" s="14">
        <v>0</v>
      </c>
      <c r="O149" s="14">
        <v>41</v>
      </c>
      <c r="P149" s="14">
        <v>112</v>
      </c>
    </row>
    <row r="150" spans="1:16">
      <c r="A150" s="14">
        <v>149</v>
      </c>
      <c r="B150" s="14">
        <v>45</v>
      </c>
      <c r="C150" s="14">
        <v>1</v>
      </c>
      <c r="D150" s="14">
        <v>2</v>
      </c>
      <c r="E150" s="14">
        <v>128</v>
      </c>
      <c r="F150" s="14">
        <v>308</v>
      </c>
      <c r="G150" s="14">
        <v>0</v>
      </c>
      <c r="H150" s="14">
        <v>170</v>
      </c>
      <c r="I150" s="14">
        <v>0</v>
      </c>
      <c r="J150" s="14">
        <v>0</v>
      </c>
      <c r="O150" s="14">
        <v>45</v>
      </c>
      <c r="P150" s="14">
        <v>128</v>
      </c>
    </row>
    <row r="151" spans="1:16">
      <c r="A151" s="14">
        <v>150</v>
      </c>
      <c r="B151" s="14">
        <v>60</v>
      </c>
      <c r="C151" s="14">
        <v>0</v>
      </c>
      <c r="D151" s="14">
        <v>3</v>
      </c>
      <c r="E151" s="14">
        <v>102</v>
      </c>
      <c r="F151" s="14">
        <v>318</v>
      </c>
      <c r="G151" s="14">
        <v>0</v>
      </c>
      <c r="H151" s="14">
        <v>160</v>
      </c>
      <c r="I151" s="14">
        <v>0</v>
      </c>
      <c r="J151" s="14">
        <v>0</v>
      </c>
      <c r="O151" s="14">
        <v>60</v>
      </c>
      <c r="P151" s="14">
        <v>102</v>
      </c>
    </row>
    <row r="152" spans="1:16">
      <c r="A152" s="14">
        <v>151</v>
      </c>
      <c r="B152" s="14">
        <v>52</v>
      </c>
      <c r="C152" s="14">
        <v>1</v>
      </c>
      <c r="D152" s="14">
        <v>1</v>
      </c>
      <c r="E152" s="14">
        <v>152</v>
      </c>
      <c r="F152" s="14">
        <v>298</v>
      </c>
      <c r="G152" s="14">
        <v>1</v>
      </c>
      <c r="H152" s="14">
        <v>178</v>
      </c>
      <c r="I152" s="14">
        <v>0</v>
      </c>
      <c r="J152" s="14">
        <v>0</v>
      </c>
      <c r="O152" s="14">
        <v>52</v>
      </c>
      <c r="P152" s="14">
        <v>152</v>
      </c>
    </row>
    <row r="153" spans="1:16">
      <c r="A153" s="14">
        <v>152</v>
      </c>
      <c r="B153" s="14">
        <v>42</v>
      </c>
      <c r="C153" s="14">
        <v>0</v>
      </c>
      <c r="D153" s="14">
        <v>4</v>
      </c>
      <c r="E153" s="14">
        <v>102</v>
      </c>
      <c r="F153" s="14">
        <v>265</v>
      </c>
      <c r="G153" s="14">
        <v>0</v>
      </c>
      <c r="H153" s="14">
        <v>122</v>
      </c>
      <c r="I153" s="14">
        <v>0</v>
      </c>
      <c r="J153" s="14">
        <v>0</v>
      </c>
      <c r="O153" s="14">
        <v>42</v>
      </c>
      <c r="P153" s="14">
        <v>102</v>
      </c>
    </row>
    <row r="154" spans="1:16">
      <c r="A154" s="14">
        <v>153</v>
      </c>
      <c r="B154" s="14">
        <v>67</v>
      </c>
      <c r="C154" s="14">
        <v>0</v>
      </c>
      <c r="D154" s="14">
        <v>3</v>
      </c>
      <c r="E154" s="14">
        <v>115</v>
      </c>
      <c r="F154" s="14">
        <v>564</v>
      </c>
      <c r="G154" s="14">
        <v>0</v>
      </c>
      <c r="H154" s="14">
        <v>160</v>
      </c>
      <c r="I154" s="14">
        <v>0</v>
      </c>
      <c r="J154" s="14">
        <v>0</v>
      </c>
      <c r="O154" s="14">
        <v>67</v>
      </c>
      <c r="P154" s="14">
        <v>115</v>
      </c>
    </row>
    <row r="155" spans="1:16">
      <c r="A155" s="14">
        <v>154</v>
      </c>
      <c r="B155" s="14">
        <v>55</v>
      </c>
      <c r="C155" s="14">
        <v>1</v>
      </c>
      <c r="D155" s="14">
        <v>4</v>
      </c>
      <c r="E155" s="14">
        <v>160</v>
      </c>
      <c r="F155" s="14">
        <v>289</v>
      </c>
      <c r="G155" s="14">
        <v>0</v>
      </c>
      <c r="H155" s="14">
        <v>145</v>
      </c>
      <c r="I155" s="14">
        <v>1</v>
      </c>
      <c r="J155" s="14">
        <v>4</v>
      </c>
      <c r="O155" s="14">
        <v>55</v>
      </c>
      <c r="P155" s="14">
        <v>160</v>
      </c>
    </row>
    <row r="156" spans="1:16">
      <c r="A156" s="14">
        <v>155</v>
      </c>
      <c r="B156" s="14">
        <v>64</v>
      </c>
      <c r="C156" s="14">
        <v>1</v>
      </c>
      <c r="D156" s="14">
        <v>4</v>
      </c>
      <c r="E156" s="14">
        <v>120</v>
      </c>
      <c r="F156" s="14">
        <v>246</v>
      </c>
      <c r="G156" s="14">
        <v>0</v>
      </c>
      <c r="H156" s="14">
        <v>96</v>
      </c>
      <c r="I156" s="14">
        <v>1</v>
      </c>
      <c r="J156" s="14">
        <v>3</v>
      </c>
      <c r="O156" s="14">
        <v>64</v>
      </c>
      <c r="P156" s="14">
        <v>120</v>
      </c>
    </row>
    <row r="157" spans="1:16">
      <c r="A157" s="14">
        <v>156</v>
      </c>
      <c r="B157" s="14">
        <v>70</v>
      </c>
      <c r="C157" s="14">
        <v>1</v>
      </c>
      <c r="D157" s="14">
        <v>4</v>
      </c>
      <c r="E157" s="14">
        <v>130</v>
      </c>
      <c r="F157" s="14">
        <v>322</v>
      </c>
      <c r="G157" s="14">
        <v>0</v>
      </c>
      <c r="H157" s="14">
        <v>109</v>
      </c>
      <c r="I157" s="14">
        <v>0</v>
      </c>
      <c r="J157" s="14">
        <v>1</v>
      </c>
      <c r="O157" s="14">
        <v>70</v>
      </c>
      <c r="P157" s="14">
        <v>130</v>
      </c>
    </row>
    <row r="158" spans="1:16">
      <c r="A158" s="14">
        <v>157</v>
      </c>
      <c r="B158" s="14">
        <v>51</v>
      </c>
      <c r="C158" s="14">
        <v>1</v>
      </c>
      <c r="D158" s="14">
        <v>4</v>
      </c>
      <c r="E158" s="14">
        <v>140</v>
      </c>
      <c r="F158" s="14">
        <v>299</v>
      </c>
      <c r="G158" s="14">
        <v>0</v>
      </c>
      <c r="H158" s="14">
        <v>173</v>
      </c>
      <c r="I158" s="14">
        <v>1</v>
      </c>
      <c r="J158" s="14">
        <v>1</v>
      </c>
      <c r="O158" s="14">
        <v>51</v>
      </c>
      <c r="P158" s="14">
        <v>140</v>
      </c>
    </row>
    <row r="159" spans="1:16">
      <c r="A159" s="14">
        <v>158</v>
      </c>
      <c r="B159" s="14">
        <v>58</v>
      </c>
      <c r="C159" s="14">
        <v>1</v>
      </c>
      <c r="D159" s="14">
        <v>4</v>
      </c>
      <c r="E159" s="14">
        <v>125</v>
      </c>
      <c r="F159" s="14">
        <v>300</v>
      </c>
      <c r="G159" s="14">
        <v>0</v>
      </c>
      <c r="H159" s="14">
        <v>171</v>
      </c>
      <c r="I159" s="14">
        <v>0</v>
      </c>
      <c r="J159" s="14">
        <v>1</v>
      </c>
      <c r="O159" s="14">
        <v>58</v>
      </c>
      <c r="P159" s="14">
        <v>125</v>
      </c>
    </row>
    <row r="160" spans="1:16">
      <c r="A160" s="14">
        <v>159</v>
      </c>
      <c r="B160" s="14">
        <v>60</v>
      </c>
      <c r="C160" s="14">
        <v>1</v>
      </c>
      <c r="D160" s="14">
        <v>4</v>
      </c>
      <c r="E160" s="14">
        <v>140</v>
      </c>
      <c r="F160" s="14">
        <v>293</v>
      </c>
      <c r="G160" s="14">
        <v>0</v>
      </c>
      <c r="H160" s="14">
        <v>170</v>
      </c>
      <c r="I160" s="14">
        <v>0</v>
      </c>
      <c r="J160" s="14">
        <v>2</v>
      </c>
      <c r="O160" s="14">
        <v>60</v>
      </c>
      <c r="P160" s="14">
        <v>140</v>
      </c>
    </row>
    <row r="161" spans="1:16">
      <c r="A161" s="14">
        <v>160</v>
      </c>
      <c r="B161" s="14">
        <v>68</v>
      </c>
      <c r="C161" s="14">
        <v>1</v>
      </c>
      <c r="D161" s="14">
        <v>3</v>
      </c>
      <c r="E161" s="14">
        <v>118</v>
      </c>
      <c r="F161" s="14">
        <v>277</v>
      </c>
      <c r="G161" s="14">
        <v>0</v>
      </c>
      <c r="H161" s="14">
        <v>151</v>
      </c>
      <c r="I161" s="14">
        <v>0</v>
      </c>
      <c r="J161" s="14">
        <v>0</v>
      </c>
      <c r="O161" s="14">
        <v>68</v>
      </c>
      <c r="P161" s="14">
        <v>118</v>
      </c>
    </row>
    <row r="162" spans="1:16">
      <c r="A162" s="14">
        <v>161</v>
      </c>
      <c r="B162" s="14">
        <v>46</v>
      </c>
      <c r="C162" s="14">
        <v>1</v>
      </c>
      <c r="D162" s="14">
        <v>2</v>
      </c>
      <c r="E162" s="14">
        <v>101</v>
      </c>
      <c r="F162" s="14">
        <v>197</v>
      </c>
      <c r="G162" s="14">
        <v>1</v>
      </c>
      <c r="H162" s="14">
        <v>156</v>
      </c>
      <c r="I162" s="14">
        <v>0</v>
      </c>
      <c r="J162" s="14">
        <v>0</v>
      </c>
      <c r="O162" s="14">
        <v>46</v>
      </c>
      <c r="P162" s="14">
        <v>101</v>
      </c>
    </row>
    <row r="163" spans="1:16">
      <c r="A163" s="14">
        <v>162</v>
      </c>
      <c r="B163" s="14">
        <v>77</v>
      </c>
      <c r="C163" s="14">
        <v>1</v>
      </c>
      <c r="D163" s="14">
        <v>4</v>
      </c>
      <c r="E163" s="14">
        <v>125</v>
      </c>
      <c r="F163" s="14">
        <v>304</v>
      </c>
      <c r="G163" s="14">
        <v>0</v>
      </c>
      <c r="H163" s="14">
        <v>162</v>
      </c>
      <c r="I163" s="14">
        <v>1</v>
      </c>
      <c r="J163" s="14">
        <v>4</v>
      </c>
      <c r="O163" s="14">
        <v>77</v>
      </c>
      <c r="P163" s="14">
        <v>125</v>
      </c>
    </row>
    <row r="164" spans="1:16">
      <c r="A164" s="14">
        <v>163</v>
      </c>
      <c r="B164" s="14">
        <v>54</v>
      </c>
      <c r="C164" s="14">
        <v>0</v>
      </c>
      <c r="D164" s="14">
        <v>3</v>
      </c>
      <c r="E164" s="14">
        <v>110</v>
      </c>
      <c r="F164" s="14">
        <v>214</v>
      </c>
      <c r="G164" s="14">
        <v>0</v>
      </c>
      <c r="H164" s="14">
        <v>158</v>
      </c>
      <c r="I164" s="14">
        <v>0</v>
      </c>
      <c r="J164" s="14">
        <v>0</v>
      </c>
      <c r="O164" s="14">
        <v>54</v>
      </c>
      <c r="P164" s="14">
        <v>110</v>
      </c>
    </row>
    <row r="165" spans="1:16">
      <c r="A165" s="14">
        <v>164</v>
      </c>
      <c r="B165" s="14">
        <v>58</v>
      </c>
      <c r="C165" s="14">
        <v>0</v>
      </c>
      <c r="D165" s="14">
        <v>4</v>
      </c>
      <c r="E165" s="14">
        <v>100</v>
      </c>
      <c r="F165" s="14">
        <v>248</v>
      </c>
      <c r="G165" s="14">
        <v>0</v>
      </c>
      <c r="H165" s="14">
        <v>122</v>
      </c>
      <c r="I165" s="14">
        <v>0</v>
      </c>
      <c r="J165" s="14">
        <v>0</v>
      </c>
      <c r="O165" s="14">
        <v>58</v>
      </c>
      <c r="P165" s="14">
        <v>100</v>
      </c>
    </row>
    <row r="166" spans="1:16">
      <c r="A166" s="14">
        <v>165</v>
      </c>
      <c r="B166" s="14">
        <v>48</v>
      </c>
      <c r="C166" s="14">
        <v>1</v>
      </c>
      <c r="D166" s="14">
        <v>3</v>
      </c>
      <c r="E166" s="14">
        <v>124</v>
      </c>
      <c r="F166" s="14">
        <v>255</v>
      </c>
      <c r="G166" s="14">
        <v>1</v>
      </c>
      <c r="H166" s="14">
        <v>175</v>
      </c>
      <c r="I166" s="14">
        <v>0</v>
      </c>
      <c r="J166" s="14">
        <v>0</v>
      </c>
      <c r="O166" s="14">
        <v>48</v>
      </c>
      <c r="P166" s="14">
        <v>124</v>
      </c>
    </row>
    <row r="167" spans="1:16">
      <c r="A167" s="14">
        <v>166</v>
      </c>
      <c r="B167" s="14">
        <v>57</v>
      </c>
      <c r="C167" s="14">
        <v>1</v>
      </c>
      <c r="D167" s="14">
        <v>4</v>
      </c>
      <c r="E167" s="14">
        <v>132</v>
      </c>
      <c r="F167" s="14">
        <v>207</v>
      </c>
      <c r="G167" s="14">
        <v>0</v>
      </c>
      <c r="H167" s="14">
        <v>168</v>
      </c>
      <c r="I167" s="14">
        <v>1</v>
      </c>
      <c r="J167" s="14">
        <v>0</v>
      </c>
      <c r="O167" s="14">
        <v>57</v>
      </c>
      <c r="P167" s="14">
        <v>132</v>
      </c>
    </row>
    <row r="168" spans="1:16">
      <c r="A168" s="14">
        <v>167</v>
      </c>
      <c r="B168" s="14">
        <v>52</v>
      </c>
      <c r="C168" s="14">
        <v>1</v>
      </c>
      <c r="D168" s="14">
        <v>3</v>
      </c>
      <c r="E168" s="14">
        <v>138</v>
      </c>
      <c r="F168" s="14">
        <v>223</v>
      </c>
      <c r="G168" s="14">
        <v>0</v>
      </c>
      <c r="H168" s="14">
        <v>169</v>
      </c>
      <c r="I168" s="14">
        <v>0</v>
      </c>
      <c r="J168" s="14">
        <v>0</v>
      </c>
      <c r="O168" s="14">
        <v>52</v>
      </c>
      <c r="P168" s="14">
        <v>138</v>
      </c>
    </row>
    <row r="169" spans="1:16">
      <c r="A169" s="14">
        <v>168</v>
      </c>
      <c r="B169" s="14">
        <v>54</v>
      </c>
      <c r="C169" s="14">
        <v>0</v>
      </c>
      <c r="D169" s="14">
        <v>2</v>
      </c>
      <c r="E169" s="14">
        <v>132</v>
      </c>
      <c r="F169" s="14">
        <v>288</v>
      </c>
      <c r="G169" s="14">
        <v>1</v>
      </c>
      <c r="H169" s="14">
        <v>159</v>
      </c>
      <c r="I169" s="14">
        <v>1</v>
      </c>
      <c r="J169" s="14">
        <v>0</v>
      </c>
      <c r="O169" s="14">
        <v>54</v>
      </c>
      <c r="P169" s="14">
        <v>132</v>
      </c>
    </row>
    <row r="170" spans="1:16">
      <c r="A170" s="14">
        <v>169</v>
      </c>
      <c r="B170" s="14">
        <v>35</v>
      </c>
      <c r="C170" s="14">
        <v>1</v>
      </c>
      <c r="D170" s="14">
        <v>4</v>
      </c>
      <c r="E170" s="14">
        <v>126</v>
      </c>
      <c r="F170" s="14">
        <v>282</v>
      </c>
      <c r="G170" s="14">
        <v>0</v>
      </c>
      <c r="H170" s="14">
        <v>156</v>
      </c>
      <c r="I170" s="14">
        <v>1</v>
      </c>
      <c r="J170" s="14">
        <v>1</v>
      </c>
      <c r="O170" s="14">
        <v>35</v>
      </c>
      <c r="P170" s="14">
        <v>126</v>
      </c>
    </row>
    <row r="171" spans="1:16">
      <c r="A171" s="14">
        <v>170</v>
      </c>
      <c r="B171" s="14">
        <v>45</v>
      </c>
      <c r="C171" s="14">
        <v>0</v>
      </c>
      <c r="D171" s="14">
        <v>2</v>
      </c>
      <c r="E171" s="14">
        <v>112</v>
      </c>
      <c r="F171" s="14">
        <v>160</v>
      </c>
      <c r="G171" s="14">
        <v>0</v>
      </c>
      <c r="H171" s="14">
        <v>138</v>
      </c>
      <c r="I171" s="14">
        <v>0</v>
      </c>
      <c r="J171" s="14">
        <v>0</v>
      </c>
      <c r="O171" s="14">
        <v>45</v>
      </c>
      <c r="P171" s="14">
        <v>112</v>
      </c>
    </row>
    <row r="172" spans="1:16">
      <c r="A172" s="14">
        <v>171</v>
      </c>
      <c r="B172" s="14">
        <v>70</v>
      </c>
      <c r="C172" s="14">
        <v>1</v>
      </c>
      <c r="D172" s="14">
        <v>3</v>
      </c>
      <c r="E172" s="14">
        <v>160</v>
      </c>
      <c r="F172" s="14">
        <v>269</v>
      </c>
      <c r="G172" s="14">
        <v>0</v>
      </c>
      <c r="H172" s="14">
        <v>112</v>
      </c>
      <c r="I172" s="14">
        <v>1</v>
      </c>
      <c r="J172" s="14">
        <v>3</v>
      </c>
      <c r="O172" s="14">
        <v>70</v>
      </c>
      <c r="P172" s="14">
        <v>160</v>
      </c>
    </row>
    <row r="173" spans="1:16">
      <c r="A173" s="14">
        <v>172</v>
      </c>
      <c r="B173" s="14">
        <v>53</v>
      </c>
      <c r="C173" s="14">
        <v>1</v>
      </c>
      <c r="D173" s="14">
        <v>4</v>
      </c>
      <c r="E173" s="14">
        <v>142</v>
      </c>
      <c r="F173" s="14">
        <v>226</v>
      </c>
      <c r="G173" s="14">
        <v>0</v>
      </c>
      <c r="H173" s="14">
        <v>111</v>
      </c>
      <c r="I173" s="14">
        <v>1</v>
      </c>
      <c r="J173" s="14">
        <v>0</v>
      </c>
      <c r="O173" s="14">
        <v>53</v>
      </c>
      <c r="P173" s="14">
        <v>142</v>
      </c>
    </row>
    <row r="174" spans="1:16">
      <c r="A174" s="14">
        <v>173</v>
      </c>
      <c r="B174" s="14">
        <v>59</v>
      </c>
      <c r="C174" s="14">
        <v>0</v>
      </c>
      <c r="D174" s="14">
        <v>4</v>
      </c>
      <c r="E174" s="14">
        <v>174</v>
      </c>
      <c r="F174" s="14">
        <v>249</v>
      </c>
      <c r="G174" s="14">
        <v>0</v>
      </c>
      <c r="H174" s="14">
        <v>143</v>
      </c>
      <c r="I174" s="14">
        <v>1</v>
      </c>
      <c r="J174" s="14">
        <v>1</v>
      </c>
      <c r="O174" s="14">
        <v>59</v>
      </c>
      <c r="P174" s="14">
        <v>174</v>
      </c>
    </row>
    <row r="175" spans="1:16">
      <c r="A175" s="14">
        <v>174</v>
      </c>
      <c r="B175" s="14">
        <v>62</v>
      </c>
      <c r="C175" s="14">
        <v>0</v>
      </c>
      <c r="D175" s="14">
        <v>4</v>
      </c>
      <c r="E175" s="14">
        <v>140</v>
      </c>
      <c r="F175" s="14">
        <v>394</v>
      </c>
      <c r="G175" s="14">
        <v>0</v>
      </c>
      <c r="H175" s="14">
        <v>157</v>
      </c>
      <c r="I175" s="14">
        <v>0</v>
      </c>
      <c r="J175" s="14">
        <v>0</v>
      </c>
      <c r="O175" s="14">
        <v>62</v>
      </c>
      <c r="P175" s="14">
        <v>140</v>
      </c>
    </row>
    <row r="176" spans="1:16">
      <c r="A176" s="14">
        <v>175</v>
      </c>
      <c r="B176" s="14">
        <v>64</v>
      </c>
      <c r="C176" s="14">
        <v>1</v>
      </c>
      <c r="D176" s="14">
        <v>4</v>
      </c>
      <c r="E176" s="14">
        <v>145</v>
      </c>
      <c r="F176" s="14">
        <v>212</v>
      </c>
      <c r="G176" s="14">
        <v>0</v>
      </c>
      <c r="H176" s="14">
        <v>132</v>
      </c>
      <c r="I176" s="14">
        <v>0</v>
      </c>
      <c r="J176" s="14">
        <v>4</v>
      </c>
      <c r="O176" s="14">
        <v>64</v>
      </c>
      <c r="P176" s="14">
        <v>145</v>
      </c>
    </row>
    <row r="177" spans="1:16">
      <c r="A177" s="14">
        <v>176</v>
      </c>
      <c r="B177" s="14">
        <v>57</v>
      </c>
      <c r="C177" s="14">
        <v>1</v>
      </c>
      <c r="D177" s="14">
        <v>4</v>
      </c>
      <c r="E177" s="14">
        <v>152</v>
      </c>
      <c r="F177" s="14">
        <v>274</v>
      </c>
      <c r="G177" s="14">
        <v>0</v>
      </c>
      <c r="H177" s="14">
        <v>88</v>
      </c>
      <c r="I177" s="14">
        <v>1</v>
      </c>
      <c r="J177" s="14">
        <v>1</v>
      </c>
      <c r="O177" s="14">
        <v>57</v>
      </c>
      <c r="P177" s="14">
        <v>152</v>
      </c>
    </row>
    <row r="178" spans="1:16">
      <c r="A178" s="14">
        <v>177</v>
      </c>
      <c r="B178" s="14">
        <v>52</v>
      </c>
      <c r="C178" s="14">
        <v>1</v>
      </c>
      <c r="D178" s="14">
        <v>4</v>
      </c>
      <c r="E178" s="14">
        <v>108</v>
      </c>
      <c r="F178" s="14">
        <v>233</v>
      </c>
      <c r="G178" s="14">
        <v>1</v>
      </c>
      <c r="H178" s="14">
        <v>147</v>
      </c>
      <c r="I178" s="14">
        <v>0</v>
      </c>
      <c r="J178" s="14">
        <v>0</v>
      </c>
      <c r="O178" s="14">
        <v>52</v>
      </c>
      <c r="P178" s="14">
        <v>108</v>
      </c>
    </row>
    <row r="179" spans="1:16">
      <c r="A179" s="14">
        <v>178</v>
      </c>
      <c r="B179" s="14">
        <v>56</v>
      </c>
      <c r="C179" s="14">
        <v>1</v>
      </c>
      <c r="D179" s="14">
        <v>4</v>
      </c>
      <c r="E179" s="14">
        <v>132</v>
      </c>
      <c r="F179" s="14">
        <v>184</v>
      </c>
      <c r="G179" s="14">
        <v>0</v>
      </c>
      <c r="H179" s="14">
        <v>105</v>
      </c>
      <c r="I179" s="14">
        <v>1</v>
      </c>
      <c r="J179" s="14">
        <v>1</v>
      </c>
      <c r="O179" s="14">
        <v>56</v>
      </c>
      <c r="P179" s="14">
        <v>132</v>
      </c>
    </row>
    <row r="180" spans="1:16">
      <c r="A180" s="14">
        <v>179</v>
      </c>
      <c r="B180" s="14">
        <v>43</v>
      </c>
      <c r="C180" s="14">
        <v>1</v>
      </c>
      <c r="D180" s="14">
        <v>3</v>
      </c>
      <c r="E180" s="14">
        <v>130</v>
      </c>
      <c r="F180" s="14">
        <v>315</v>
      </c>
      <c r="G180" s="14">
        <v>0</v>
      </c>
      <c r="H180" s="14">
        <v>162</v>
      </c>
      <c r="I180" s="14">
        <v>0</v>
      </c>
      <c r="J180" s="14">
        <v>0</v>
      </c>
      <c r="O180" s="14">
        <v>43</v>
      </c>
      <c r="P180" s="14">
        <v>130</v>
      </c>
    </row>
    <row r="181" spans="1:16">
      <c r="A181" s="14">
        <v>180</v>
      </c>
      <c r="B181" s="14">
        <v>53</v>
      </c>
      <c r="C181" s="14">
        <v>1</v>
      </c>
      <c r="D181" s="14">
        <v>3</v>
      </c>
      <c r="E181" s="14">
        <v>130</v>
      </c>
      <c r="F181" s="14">
        <v>246</v>
      </c>
      <c r="G181" s="14">
        <v>1</v>
      </c>
      <c r="H181" s="14">
        <v>173</v>
      </c>
      <c r="I181" s="14">
        <v>0</v>
      </c>
      <c r="J181" s="14">
        <v>0</v>
      </c>
      <c r="O181" s="14">
        <v>53</v>
      </c>
      <c r="P181" s="14">
        <v>130</v>
      </c>
    </row>
    <row r="182" spans="1:16">
      <c r="A182" s="14">
        <v>181</v>
      </c>
      <c r="B182" s="14">
        <v>48</v>
      </c>
      <c r="C182" s="14">
        <v>1</v>
      </c>
      <c r="D182" s="14">
        <v>4</v>
      </c>
      <c r="E182" s="14">
        <v>124</v>
      </c>
      <c r="F182" s="14">
        <v>274</v>
      </c>
      <c r="G182" s="14">
        <v>0</v>
      </c>
      <c r="H182" s="14">
        <v>166</v>
      </c>
      <c r="I182" s="14">
        <v>0</v>
      </c>
      <c r="J182" s="14">
        <v>3</v>
      </c>
      <c r="O182" s="14">
        <v>48</v>
      </c>
      <c r="P182" s="14">
        <v>124</v>
      </c>
    </row>
    <row r="183" spans="1:16">
      <c r="A183" s="14">
        <v>182</v>
      </c>
      <c r="B183" s="14">
        <v>56</v>
      </c>
      <c r="C183" s="14">
        <v>0</v>
      </c>
      <c r="D183" s="14">
        <v>4</v>
      </c>
      <c r="E183" s="14">
        <v>134</v>
      </c>
      <c r="F183" s="14">
        <v>409</v>
      </c>
      <c r="G183" s="14">
        <v>0</v>
      </c>
      <c r="H183" s="14">
        <v>150</v>
      </c>
      <c r="I183" s="14">
        <v>1</v>
      </c>
      <c r="J183" s="14">
        <v>2</v>
      </c>
      <c r="O183" s="14">
        <v>56</v>
      </c>
      <c r="P183" s="14">
        <v>134</v>
      </c>
    </row>
    <row r="184" spans="1:16">
      <c r="A184" s="14">
        <v>183</v>
      </c>
      <c r="B184" s="14">
        <v>42</v>
      </c>
      <c r="C184" s="14">
        <v>1</v>
      </c>
      <c r="D184" s="14">
        <v>1</v>
      </c>
      <c r="E184" s="14">
        <v>148</v>
      </c>
      <c r="F184" s="14">
        <v>244</v>
      </c>
      <c r="G184" s="14">
        <v>0</v>
      </c>
      <c r="H184" s="14">
        <v>178</v>
      </c>
      <c r="I184" s="14">
        <v>0</v>
      </c>
      <c r="J184" s="14">
        <v>0</v>
      </c>
      <c r="O184" s="14">
        <v>42</v>
      </c>
      <c r="P184" s="14">
        <v>148</v>
      </c>
    </row>
    <row r="185" spans="1:16">
      <c r="A185" s="14">
        <v>184</v>
      </c>
      <c r="B185" s="14">
        <v>59</v>
      </c>
      <c r="C185" s="14">
        <v>1</v>
      </c>
      <c r="D185" s="14">
        <v>1</v>
      </c>
      <c r="E185" s="14">
        <v>178</v>
      </c>
      <c r="F185" s="14">
        <v>270</v>
      </c>
      <c r="G185" s="14">
        <v>0</v>
      </c>
      <c r="H185" s="14">
        <v>145</v>
      </c>
      <c r="I185" s="14">
        <v>0</v>
      </c>
      <c r="J185" s="14">
        <v>0</v>
      </c>
      <c r="O185" s="14">
        <v>59</v>
      </c>
      <c r="P185" s="14">
        <v>178</v>
      </c>
    </row>
    <row r="186" spans="1:16">
      <c r="A186" s="14">
        <v>185</v>
      </c>
      <c r="B186" s="14">
        <v>60</v>
      </c>
      <c r="C186" s="14">
        <v>0</v>
      </c>
      <c r="D186" s="14">
        <v>4</v>
      </c>
      <c r="E186" s="14">
        <v>158</v>
      </c>
      <c r="F186" s="14">
        <v>305</v>
      </c>
      <c r="G186" s="14">
        <v>0</v>
      </c>
      <c r="H186" s="14">
        <v>161</v>
      </c>
      <c r="I186" s="14">
        <v>0</v>
      </c>
      <c r="J186" s="14">
        <v>1</v>
      </c>
      <c r="O186" s="14">
        <v>60</v>
      </c>
      <c r="P186" s="14">
        <v>158</v>
      </c>
    </row>
    <row r="187" spans="1:16">
      <c r="A187" s="14">
        <v>186</v>
      </c>
      <c r="B187" s="14">
        <v>63</v>
      </c>
      <c r="C187" s="14">
        <v>0</v>
      </c>
      <c r="D187" s="14">
        <v>2</v>
      </c>
      <c r="E187" s="14">
        <v>140</v>
      </c>
      <c r="F187" s="14">
        <v>195</v>
      </c>
      <c r="G187" s="14">
        <v>0</v>
      </c>
      <c r="H187" s="14">
        <v>179</v>
      </c>
      <c r="I187" s="14">
        <v>0</v>
      </c>
      <c r="J187" s="14">
        <v>0</v>
      </c>
      <c r="O187" s="14">
        <v>63</v>
      </c>
      <c r="P187" s="14">
        <v>140</v>
      </c>
    </row>
    <row r="188" spans="1:16">
      <c r="A188" s="14">
        <v>187</v>
      </c>
      <c r="B188" s="14">
        <v>42</v>
      </c>
      <c r="C188" s="14">
        <v>1</v>
      </c>
      <c r="D188" s="14">
        <v>3</v>
      </c>
      <c r="E188" s="14">
        <v>120</v>
      </c>
      <c r="F188" s="14">
        <v>240</v>
      </c>
      <c r="G188" s="14">
        <v>1</v>
      </c>
      <c r="H188" s="14">
        <v>194</v>
      </c>
      <c r="I188" s="14">
        <v>0</v>
      </c>
      <c r="J188" s="14">
        <v>0</v>
      </c>
      <c r="O188" s="14">
        <v>42</v>
      </c>
      <c r="P188" s="14">
        <v>120</v>
      </c>
    </row>
    <row r="189" spans="1:16">
      <c r="A189" s="14">
        <v>188</v>
      </c>
      <c r="B189" s="14">
        <v>66</v>
      </c>
      <c r="C189" s="14">
        <v>1</v>
      </c>
      <c r="D189" s="14">
        <v>2</v>
      </c>
      <c r="E189" s="14">
        <v>160</v>
      </c>
      <c r="F189" s="14">
        <v>246</v>
      </c>
      <c r="G189" s="14">
        <v>0</v>
      </c>
      <c r="H189" s="14">
        <v>120</v>
      </c>
      <c r="I189" s="14">
        <v>1</v>
      </c>
      <c r="J189" s="14">
        <v>2</v>
      </c>
      <c r="O189" s="14">
        <v>66</v>
      </c>
      <c r="P189" s="14">
        <v>160</v>
      </c>
    </row>
    <row r="190" spans="1:16">
      <c r="A190" s="14">
        <v>189</v>
      </c>
      <c r="B190" s="14">
        <v>54</v>
      </c>
      <c r="C190" s="14">
        <v>1</v>
      </c>
      <c r="D190" s="14">
        <v>2</v>
      </c>
      <c r="E190" s="14">
        <v>192</v>
      </c>
      <c r="F190" s="14">
        <v>283</v>
      </c>
      <c r="G190" s="14">
        <v>0</v>
      </c>
      <c r="H190" s="14">
        <v>195</v>
      </c>
      <c r="I190" s="14">
        <v>0</v>
      </c>
      <c r="J190" s="14">
        <v>1</v>
      </c>
      <c r="O190" s="14">
        <v>54</v>
      </c>
      <c r="P190" s="14">
        <v>192</v>
      </c>
    </row>
    <row r="191" spans="1:16">
      <c r="A191" s="14">
        <v>190</v>
      </c>
      <c r="B191" s="14">
        <v>69</v>
      </c>
      <c r="C191" s="14">
        <v>1</v>
      </c>
      <c r="D191" s="14">
        <v>3</v>
      </c>
      <c r="E191" s="14">
        <v>140</v>
      </c>
      <c r="F191" s="14">
        <v>254</v>
      </c>
      <c r="G191" s="14">
        <v>0</v>
      </c>
      <c r="H191" s="14">
        <v>146</v>
      </c>
      <c r="I191" s="14">
        <v>0</v>
      </c>
      <c r="J191" s="14">
        <v>2</v>
      </c>
      <c r="O191" s="14">
        <v>69</v>
      </c>
      <c r="P191" s="14">
        <v>140</v>
      </c>
    </row>
    <row r="192" spans="1:16">
      <c r="A192" s="14">
        <v>191</v>
      </c>
      <c r="B192" s="14">
        <v>50</v>
      </c>
      <c r="C192" s="14">
        <v>1</v>
      </c>
      <c r="D192" s="14">
        <v>3</v>
      </c>
      <c r="E192" s="14">
        <v>129</v>
      </c>
      <c r="F192" s="14">
        <v>196</v>
      </c>
      <c r="G192" s="14">
        <v>0</v>
      </c>
      <c r="H192" s="14">
        <v>163</v>
      </c>
      <c r="I192" s="14">
        <v>0</v>
      </c>
      <c r="J192" s="14">
        <v>0</v>
      </c>
      <c r="O192" s="14">
        <v>50</v>
      </c>
      <c r="P192" s="14">
        <v>129</v>
      </c>
    </row>
    <row r="193" spans="1:16">
      <c r="A193" s="14">
        <v>192</v>
      </c>
      <c r="B193" s="14">
        <v>51</v>
      </c>
      <c r="C193" s="14">
        <v>1</v>
      </c>
      <c r="D193" s="14">
        <v>4</v>
      </c>
      <c r="E193" s="14">
        <v>140</v>
      </c>
      <c r="F193" s="14">
        <v>298</v>
      </c>
      <c r="G193" s="14">
        <v>0</v>
      </c>
      <c r="H193" s="14">
        <v>122</v>
      </c>
      <c r="I193" s="14">
        <v>1</v>
      </c>
      <c r="J193" s="14">
        <v>3</v>
      </c>
      <c r="O193" s="14">
        <v>51</v>
      </c>
      <c r="P193" s="14">
        <v>140</v>
      </c>
    </row>
    <row r="194" spans="1:16">
      <c r="A194" s="14">
        <v>193</v>
      </c>
      <c r="B194" s="14">
        <v>43</v>
      </c>
      <c r="C194" s="14">
        <v>1</v>
      </c>
      <c r="D194" s="14">
        <v>4</v>
      </c>
      <c r="E194" s="14">
        <v>132</v>
      </c>
      <c r="F194" s="14">
        <v>247</v>
      </c>
      <c r="G194" s="14">
        <v>1</v>
      </c>
      <c r="H194" s="14">
        <v>143</v>
      </c>
      <c r="I194" s="14">
        <v>1</v>
      </c>
      <c r="J194" s="14">
        <v>1</v>
      </c>
      <c r="O194" s="14">
        <v>43</v>
      </c>
      <c r="P194" s="14">
        <v>132</v>
      </c>
    </row>
    <row r="195" spans="1:16">
      <c r="A195" s="14">
        <v>194</v>
      </c>
      <c r="B195" s="14">
        <v>62</v>
      </c>
      <c r="C195" s="14">
        <v>0</v>
      </c>
      <c r="D195" s="14">
        <v>4</v>
      </c>
      <c r="E195" s="14">
        <v>138</v>
      </c>
      <c r="F195" s="14">
        <v>294</v>
      </c>
      <c r="G195" s="14">
        <v>1</v>
      </c>
      <c r="H195" s="14">
        <v>106</v>
      </c>
      <c r="I195" s="14">
        <v>0</v>
      </c>
      <c r="J195" s="14">
        <v>2</v>
      </c>
      <c r="O195" s="14">
        <v>62</v>
      </c>
      <c r="P195" s="14">
        <v>138</v>
      </c>
    </row>
    <row r="196" spans="1:16">
      <c r="A196" s="14">
        <v>195</v>
      </c>
      <c r="B196" s="14">
        <v>68</v>
      </c>
      <c r="C196" s="14">
        <v>0</v>
      </c>
      <c r="D196" s="14">
        <v>3</v>
      </c>
      <c r="E196" s="14">
        <v>120</v>
      </c>
      <c r="F196" s="14">
        <v>211</v>
      </c>
      <c r="G196" s="14">
        <v>0</v>
      </c>
      <c r="H196" s="14">
        <v>115</v>
      </c>
      <c r="I196" s="14">
        <v>0</v>
      </c>
      <c r="J196" s="14">
        <v>0</v>
      </c>
      <c r="O196" s="14">
        <v>68</v>
      </c>
      <c r="P196" s="14">
        <v>120</v>
      </c>
    </row>
    <row r="197" spans="1:16">
      <c r="A197" s="14">
        <v>196</v>
      </c>
      <c r="B197" s="14">
        <v>67</v>
      </c>
      <c r="C197" s="14">
        <v>1</v>
      </c>
      <c r="D197" s="14">
        <v>4</v>
      </c>
      <c r="E197" s="14">
        <v>100</v>
      </c>
      <c r="F197" s="14">
        <v>299</v>
      </c>
      <c r="G197" s="14">
        <v>0</v>
      </c>
      <c r="H197" s="14">
        <v>125</v>
      </c>
      <c r="I197" s="14">
        <v>1</v>
      </c>
      <c r="J197" s="14">
        <v>3</v>
      </c>
      <c r="O197" s="14">
        <v>67</v>
      </c>
      <c r="P197" s="14">
        <v>100</v>
      </c>
    </row>
    <row r="198" spans="1:16">
      <c r="A198" s="14">
        <v>197</v>
      </c>
      <c r="B198" s="14">
        <v>69</v>
      </c>
      <c r="C198" s="14">
        <v>1</v>
      </c>
      <c r="D198" s="14">
        <v>1</v>
      </c>
      <c r="E198" s="14">
        <v>160</v>
      </c>
      <c r="F198" s="14">
        <v>234</v>
      </c>
      <c r="G198" s="14">
        <v>1</v>
      </c>
      <c r="H198" s="14">
        <v>131</v>
      </c>
      <c r="I198" s="14">
        <v>0</v>
      </c>
      <c r="J198" s="14">
        <v>0</v>
      </c>
      <c r="O198" s="14">
        <v>69</v>
      </c>
      <c r="P198" s="14">
        <v>160</v>
      </c>
    </row>
    <row r="199" spans="1:16">
      <c r="A199" s="14">
        <v>198</v>
      </c>
      <c r="B199" s="14">
        <v>45</v>
      </c>
      <c r="C199" s="14">
        <v>0</v>
      </c>
      <c r="D199" s="14">
        <v>4</v>
      </c>
      <c r="E199" s="14">
        <v>138</v>
      </c>
      <c r="F199" s="14">
        <v>236</v>
      </c>
      <c r="G199" s="14">
        <v>0</v>
      </c>
      <c r="H199" s="14">
        <v>152</v>
      </c>
      <c r="I199" s="14">
        <v>1</v>
      </c>
      <c r="J199" s="14">
        <v>0</v>
      </c>
      <c r="O199" s="14">
        <v>45</v>
      </c>
      <c r="P199" s="14">
        <v>138</v>
      </c>
    </row>
    <row r="200" spans="1:16">
      <c r="A200" s="14">
        <v>199</v>
      </c>
      <c r="B200" s="14">
        <v>50</v>
      </c>
      <c r="C200" s="14">
        <v>0</v>
      </c>
      <c r="D200" s="14">
        <v>2</v>
      </c>
      <c r="E200" s="14">
        <v>120</v>
      </c>
      <c r="F200" s="14">
        <v>244</v>
      </c>
      <c r="G200" s="14">
        <v>0</v>
      </c>
      <c r="H200" s="14">
        <v>162</v>
      </c>
      <c r="I200" s="14">
        <v>0</v>
      </c>
      <c r="J200" s="14">
        <v>0</v>
      </c>
      <c r="O200" s="14">
        <v>50</v>
      </c>
      <c r="P200" s="14">
        <v>120</v>
      </c>
    </row>
    <row r="201" spans="1:16">
      <c r="A201" s="14">
        <v>200</v>
      </c>
      <c r="B201" s="14">
        <v>59</v>
      </c>
      <c r="C201" s="14">
        <v>1</v>
      </c>
      <c r="D201" s="14">
        <v>1</v>
      </c>
      <c r="E201" s="14">
        <v>160</v>
      </c>
      <c r="F201" s="14">
        <v>273</v>
      </c>
      <c r="G201" s="14">
        <v>0</v>
      </c>
      <c r="H201" s="14">
        <v>125</v>
      </c>
      <c r="I201" s="14">
        <v>0</v>
      </c>
      <c r="J201" s="14">
        <v>1</v>
      </c>
      <c r="O201" s="14">
        <v>59</v>
      </c>
      <c r="P201" s="14">
        <v>160</v>
      </c>
    </row>
    <row r="202" spans="1:16">
      <c r="A202" s="14">
        <v>201</v>
      </c>
      <c r="B202" s="14">
        <v>50</v>
      </c>
      <c r="C202" s="14">
        <v>0</v>
      </c>
      <c r="D202" s="14">
        <v>4</v>
      </c>
      <c r="E202" s="14">
        <v>110</v>
      </c>
      <c r="F202" s="14">
        <v>254</v>
      </c>
      <c r="G202" s="14">
        <v>0</v>
      </c>
      <c r="H202" s="14">
        <v>159</v>
      </c>
      <c r="I202" s="14">
        <v>0</v>
      </c>
      <c r="J202" s="14">
        <v>0</v>
      </c>
      <c r="O202" s="14">
        <v>50</v>
      </c>
      <c r="P202" s="14">
        <v>110</v>
      </c>
    </row>
    <row r="203" spans="1:16">
      <c r="A203" s="14">
        <v>202</v>
      </c>
      <c r="B203" s="14">
        <v>64</v>
      </c>
      <c r="C203" s="14">
        <v>0</v>
      </c>
      <c r="D203" s="14">
        <v>4</v>
      </c>
      <c r="E203" s="14">
        <v>180</v>
      </c>
      <c r="F203" s="14">
        <v>325</v>
      </c>
      <c r="G203" s="14">
        <v>0</v>
      </c>
      <c r="H203" s="14">
        <v>154</v>
      </c>
      <c r="I203" s="14">
        <v>1</v>
      </c>
      <c r="J203" s="14">
        <v>0</v>
      </c>
      <c r="O203" s="14">
        <v>64</v>
      </c>
      <c r="P203" s="14">
        <v>180</v>
      </c>
    </row>
    <row r="204" spans="1:16">
      <c r="A204" s="14">
        <v>203</v>
      </c>
      <c r="B204" s="14">
        <v>57</v>
      </c>
      <c r="C204" s="14">
        <v>1</v>
      </c>
      <c r="D204" s="14">
        <v>3</v>
      </c>
      <c r="E204" s="14">
        <v>150</v>
      </c>
      <c r="F204" s="14">
        <v>126</v>
      </c>
      <c r="G204" s="14">
        <v>1</v>
      </c>
      <c r="H204" s="14">
        <v>173</v>
      </c>
      <c r="I204" s="14">
        <v>0</v>
      </c>
      <c r="J204" s="14">
        <v>0</v>
      </c>
      <c r="O204" s="14">
        <v>57</v>
      </c>
      <c r="P204" s="14">
        <v>150</v>
      </c>
    </row>
    <row r="205" spans="1:16">
      <c r="A205" s="14">
        <v>204</v>
      </c>
      <c r="B205" s="14">
        <v>64</v>
      </c>
      <c r="C205" s="14">
        <v>0</v>
      </c>
      <c r="D205" s="14">
        <v>3</v>
      </c>
      <c r="E205" s="14">
        <v>140</v>
      </c>
      <c r="F205" s="14">
        <v>313</v>
      </c>
      <c r="G205" s="14">
        <v>0</v>
      </c>
      <c r="H205" s="14">
        <v>133</v>
      </c>
      <c r="I205" s="14">
        <v>0</v>
      </c>
      <c r="J205" s="14">
        <v>0</v>
      </c>
      <c r="O205" s="14">
        <v>64</v>
      </c>
      <c r="P205" s="14">
        <v>140</v>
      </c>
    </row>
    <row r="206" spans="1:16">
      <c r="A206" s="14">
        <v>205</v>
      </c>
      <c r="B206" s="14">
        <v>43</v>
      </c>
      <c r="C206" s="14">
        <v>1</v>
      </c>
      <c r="D206" s="14">
        <v>4</v>
      </c>
      <c r="E206" s="14">
        <v>110</v>
      </c>
      <c r="F206" s="14">
        <v>211</v>
      </c>
      <c r="G206" s="14">
        <v>0</v>
      </c>
      <c r="H206" s="14">
        <v>161</v>
      </c>
      <c r="I206" s="14">
        <v>0</v>
      </c>
      <c r="J206" s="14">
        <v>0</v>
      </c>
      <c r="O206" s="14">
        <v>43</v>
      </c>
      <c r="P206" s="14">
        <v>110</v>
      </c>
    </row>
    <row r="207" spans="1:16">
      <c r="A207" s="14">
        <v>206</v>
      </c>
      <c r="B207" s="14">
        <v>45</v>
      </c>
      <c r="C207" s="14">
        <v>1</v>
      </c>
      <c r="D207" s="14">
        <v>4</v>
      </c>
      <c r="E207" s="14">
        <v>142</v>
      </c>
      <c r="F207" s="14">
        <v>309</v>
      </c>
      <c r="G207" s="14">
        <v>0</v>
      </c>
      <c r="H207" s="14">
        <v>147</v>
      </c>
      <c r="I207" s="14">
        <v>1</v>
      </c>
      <c r="J207" s="14">
        <v>3</v>
      </c>
      <c r="O207" s="14">
        <v>45</v>
      </c>
      <c r="P207" s="14">
        <v>142</v>
      </c>
    </row>
    <row r="208" spans="1:16">
      <c r="A208" s="14">
        <v>207</v>
      </c>
      <c r="B208" s="14">
        <v>58</v>
      </c>
      <c r="C208" s="14">
        <v>1</v>
      </c>
      <c r="D208" s="14">
        <v>4</v>
      </c>
      <c r="E208" s="14">
        <v>128</v>
      </c>
      <c r="F208" s="14">
        <v>259</v>
      </c>
      <c r="G208" s="14">
        <v>0</v>
      </c>
      <c r="H208" s="14">
        <v>130</v>
      </c>
      <c r="I208" s="14">
        <v>1</v>
      </c>
      <c r="J208" s="14">
        <v>3</v>
      </c>
      <c r="O208" s="14">
        <v>58</v>
      </c>
      <c r="P208" s="14">
        <v>128</v>
      </c>
    </row>
    <row r="209" spans="1:16">
      <c r="A209" s="14">
        <v>208</v>
      </c>
      <c r="B209" s="14">
        <v>50</v>
      </c>
      <c r="C209" s="14">
        <v>1</v>
      </c>
      <c r="D209" s="14">
        <v>4</v>
      </c>
      <c r="E209" s="14">
        <v>144</v>
      </c>
      <c r="F209" s="14">
        <v>200</v>
      </c>
      <c r="G209" s="14">
        <v>0</v>
      </c>
      <c r="H209" s="14">
        <v>126</v>
      </c>
      <c r="I209" s="14">
        <v>1</v>
      </c>
      <c r="J209" s="14">
        <v>3</v>
      </c>
      <c r="O209" s="14">
        <v>50</v>
      </c>
      <c r="P209" s="14">
        <v>144</v>
      </c>
    </row>
    <row r="210" spans="1:16">
      <c r="A210" s="14">
        <v>209</v>
      </c>
      <c r="B210" s="14">
        <v>55</v>
      </c>
      <c r="C210" s="14">
        <v>1</v>
      </c>
      <c r="D210" s="14">
        <v>2</v>
      </c>
      <c r="E210" s="14">
        <v>130</v>
      </c>
      <c r="F210" s="14">
        <v>262</v>
      </c>
      <c r="G210" s="14">
        <v>0</v>
      </c>
      <c r="H210" s="14">
        <v>155</v>
      </c>
      <c r="I210" s="14">
        <v>0</v>
      </c>
      <c r="J210" s="14">
        <v>0</v>
      </c>
      <c r="O210" s="14">
        <v>55</v>
      </c>
      <c r="P210" s="14">
        <v>130</v>
      </c>
    </row>
    <row r="211" spans="1:16">
      <c r="A211" s="14">
        <v>210</v>
      </c>
      <c r="B211" s="14">
        <v>62</v>
      </c>
      <c r="C211" s="14">
        <v>0</v>
      </c>
      <c r="D211" s="14">
        <v>4</v>
      </c>
      <c r="E211" s="14">
        <v>150</v>
      </c>
      <c r="F211" s="14">
        <v>244</v>
      </c>
      <c r="G211" s="14">
        <v>0</v>
      </c>
      <c r="H211" s="14">
        <v>154</v>
      </c>
      <c r="I211" s="14">
        <v>1</v>
      </c>
      <c r="J211" s="14">
        <v>1</v>
      </c>
      <c r="O211" s="14">
        <v>62</v>
      </c>
      <c r="P211" s="14">
        <v>150</v>
      </c>
    </row>
    <row r="212" spans="1:16">
      <c r="A212" s="14">
        <v>211</v>
      </c>
      <c r="B212" s="14">
        <v>37</v>
      </c>
      <c r="C212" s="14">
        <v>0</v>
      </c>
      <c r="D212" s="14">
        <v>3</v>
      </c>
      <c r="E212" s="14">
        <v>120</v>
      </c>
      <c r="F212" s="14">
        <v>215</v>
      </c>
      <c r="G212" s="14">
        <v>0</v>
      </c>
      <c r="H212" s="14">
        <v>170</v>
      </c>
      <c r="I212" s="14">
        <v>0</v>
      </c>
      <c r="J212" s="14">
        <v>0</v>
      </c>
      <c r="O212" s="14">
        <v>37</v>
      </c>
      <c r="P212" s="14">
        <v>120</v>
      </c>
    </row>
    <row r="213" spans="1:16">
      <c r="A213" s="14">
        <v>212</v>
      </c>
      <c r="B213" s="14">
        <v>38</v>
      </c>
      <c r="C213" s="14">
        <v>1</v>
      </c>
      <c r="D213" s="14">
        <v>1</v>
      </c>
      <c r="E213" s="14">
        <v>120</v>
      </c>
      <c r="F213" s="14">
        <v>231</v>
      </c>
      <c r="G213" s="14">
        <v>0</v>
      </c>
      <c r="H213" s="14">
        <v>182</v>
      </c>
      <c r="I213" s="14">
        <v>1</v>
      </c>
      <c r="J213" s="14">
        <v>4</v>
      </c>
      <c r="O213" s="14">
        <v>38</v>
      </c>
      <c r="P213" s="14">
        <v>120</v>
      </c>
    </row>
    <row r="214" spans="1:16">
      <c r="A214" s="14">
        <v>213</v>
      </c>
      <c r="B214" s="14">
        <v>41</v>
      </c>
      <c r="C214" s="14">
        <v>1</v>
      </c>
      <c r="D214" s="14">
        <v>3</v>
      </c>
      <c r="E214" s="14">
        <v>130</v>
      </c>
      <c r="F214" s="14">
        <v>214</v>
      </c>
      <c r="G214" s="14">
        <v>0</v>
      </c>
      <c r="H214" s="14">
        <v>168</v>
      </c>
      <c r="I214" s="14">
        <v>0</v>
      </c>
      <c r="J214" s="14">
        <v>0</v>
      </c>
      <c r="O214" s="14">
        <v>41</v>
      </c>
      <c r="P214" s="14">
        <v>130</v>
      </c>
    </row>
    <row r="215" spans="1:16">
      <c r="A215" s="14">
        <v>214</v>
      </c>
      <c r="B215" s="14">
        <v>66</v>
      </c>
      <c r="C215" s="14">
        <v>0</v>
      </c>
      <c r="D215" s="14">
        <v>4</v>
      </c>
      <c r="E215" s="14">
        <v>178</v>
      </c>
      <c r="F215" s="14">
        <v>228</v>
      </c>
      <c r="G215" s="14">
        <v>1</v>
      </c>
      <c r="H215" s="14">
        <v>165</v>
      </c>
      <c r="I215" s="14">
        <v>1</v>
      </c>
      <c r="J215" s="14">
        <v>3</v>
      </c>
      <c r="O215" s="14">
        <v>66</v>
      </c>
      <c r="P215" s="14">
        <v>178</v>
      </c>
    </row>
    <row r="216" spans="1:16">
      <c r="A216" s="14">
        <v>215</v>
      </c>
      <c r="B216" s="14">
        <v>52</v>
      </c>
      <c r="C216" s="14">
        <v>1</v>
      </c>
      <c r="D216" s="14">
        <v>4</v>
      </c>
      <c r="E216" s="14">
        <v>112</v>
      </c>
      <c r="F216" s="14">
        <v>230</v>
      </c>
      <c r="G216" s="14">
        <v>0</v>
      </c>
      <c r="H216" s="14">
        <v>160</v>
      </c>
      <c r="I216" s="14">
        <v>0</v>
      </c>
      <c r="J216" s="14">
        <v>1</v>
      </c>
      <c r="O216" s="14">
        <v>52</v>
      </c>
      <c r="P216" s="14">
        <v>112</v>
      </c>
    </row>
    <row r="217" spans="1:16">
      <c r="A217" s="14">
        <v>216</v>
      </c>
      <c r="B217" s="14">
        <v>56</v>
      </c>
      <c r="C217" s="14">
        <v>1</v>
      </c>
      <c r="D217" s="14">
        <v>1</v>
      </c>
      <c r="E217" s="14">
        <v>120</v>
      </c>
      <c r="F217" s="14">
        <v>193</v>
      </c>
      <c r="G217" s="14">
        <v>0</v>
      </c>
      <c r="H217" s="14">
        <v>162</v>
      </c>
      <c r="I217" s="14">
        <v>0</v>
      </c>
      <c r="J217" s="14">
        <v>0</v>
      </c>
      <c r="O217" s="14">
        <v>56</v>
      </c>
      <c r="P217" s="14">
        <v>120</v>
      </c>
    </row>
    <row r="218" spans="1:16">
      <c r="A218" s="14">
        <v>217</v>
      </c>
      <c r="B218" s="14">
        <v>46</v>
      </c>
      <c r="C218" s="14">
        <v>0</v>
      </c>
      <c r="D218" s="14">
        <v>2</v>
      </c>
      <c r="E218" s="14">
        <v>105</v>
      </c>
      <c r="F218" s="14">
        <v>204</v>
      </c>
      <c r="G218" s="14">
        <v>0</v>
      </c>
      <c r="H218" s="14">
        <v>172</v>
      </c>
      <c r="I218" s="14">
        <v>0</v>
      </c>
      <c r="J218" s="14">
        <v>0</v>
      </c>
      <c r="O218" s="14">
        <v>46</v>
      </c>
      <c r="P218" s="14">
        <v>105</v>
      </c>
    </row>
    <row r="219" spans="1:16">
      <c r="A219" s="14">
        <v>218</v>
      </c>
      <c r="B219" s="14">
        <v>46</v>
      </c>
      <c r="C219" s="14">
        <v>0</v>
      </c>
      <c r="D219" s="14">
        <v>4</v>
      </c>
      <c r="E219" s="14">
        <v>138</v>
      </c>
      <c r="F219" s="14">
        <v>243</v>
      </c>
      <c r="G219" s="14">
        <v>0</v>
      </c>
      <c r="H219" s="14">
        <v>152</v>
      </c>
      <c r="I219" s="14">
        <v>1</v>
      </c>
      <c r="J219" s="14">
        <v>0</v>
      </c>
      <c r="O219" s="14">
        <v>46</v>
      </c>
      <c r="P219" s="14">
        <v>138</v>
      </c>
    </row>
    <row r="220" spans="1:16">
      <c r="A220" s="14">
        <v>219</v>
      </c>
      <c r="B220" s="14">
        <v>64</v>
      </c>
      <c r="C220" s="14">
        <v>0</v>
      </c>
      <c r="D220" s="14">
        <v>4</v>
      </c>
      <c r="E220" s="14">
        <v>130</v>
      </c>
      <c r="F220" s="14">
        <v>303</v>
      </c>
      <c r="G220" s="14">
        <v>0</v>
      </c>
      <c r="H220" s="14">
        <v>122</v>
      </c>
      <c r="I220" s="14">
        <v>0</v>
      </c>
      <c r="J220" s="14">
        <v>0</v>
      </c>
      <c r="O220" s="14">
        <v>64</v>
      </c>
      <c r="P220" s="14">
        <v>130</v>
      </c>
    </row>
    <row r="221" spans="1:16">
      <c r="A221" s="14">
        <v>220</v>
      </c>
      <c r="B221" s="14">
        <v>59</v>
      </c>
      <c r="C221" s="14">
        <v>1</v>
      </c>
      <c r="D221" s="14">
        <v>4</v>
      </c>
      <c r="E221" s="14">
        <v>138</v>
      </c>
      <c r="F221" s="14">
        <v>271</v>
      </c>
      <c r="G221" s="14">
        <v>0</v>
      </c>
      <c r="H221" s="14">
        <v>182</v>
      </c>
      <c r="I221" s="14">
        <v>0</v>
      </c>
      <c r="J221" s="14">
        <v>0</v>
      </c>
      <c r="O221" s="14">
        <v>59</v>
      </c>
      <c r="P221" s="14">
        <v>138</v>
      </c>
    </row>
    <row r="222" spans="1:16">
      <c r="A222" s="14">
        <v>221</v>
      </c>
      <c r="B222" s="14">
        <v>41</v>
      </c>
      <c r="C222" s="14">
        <v>0</v>
      </c>
      <c r="D222" s="14">
        <v>3</v>
      </c>
      <c r="E222" s="14">
        <v>112</v>
      </c>
      <c r="F222" s="14">
        <v>268</v>
      </c>
      <c r="G222" s="14">
        <v>0</v>
      </c>
      <c r="H222" s="14">
        <v>172</v>
      </c>
      <c r="I222" s="14">
        <v>1</v>
      </c>
      <c r="J222" s="14">
        <v>0</v>
      </c>
      <c r="O222" s="14">
        <v>41</v>
      </c>
      <c r="P222" s="14">
        <v>112</v>
      </c>
    </row>
    <row r="223" spans="1:16">
      <c r="A223" s="14">
        <v>222</v>
      </c>
      <c r="B223" s="14">
        <v>54</v>
      </c>
      <c r="C223" s="14">
        <v>0</v>
      </c>
      <c r="D223" s="14">
        <v>3</v>
      </c>
      <c r="E223" s="14">
        <v>108</v>
      </c>
      <c r="F223" s="14">
        <v>267</v>
      </c>
      <c r="G223" s="14">
        <v>0</v>
      </c>
      <c r="H223" s="14">
        <v>167</v>
      </c>
      <c r="I223" s="14">
        <v>0</v>
      </c>
      <c r="J223" s="14">
        <v>0</v>
      </c>
      <c r="O223" s="14">
        <v>54</v>
      </c>
      <c r="P223" s="14">
        <v>108</v>
      </c>
    </row>
    <row r="224" spans="1:16">
      <c r="A224" s="14">
        <v>223</v>
      </c>
      <c r="B224" s="14">
        <v>39</v>
      </c>
      <c r="C224" s="14">
        <v>0</v>
      </c>
      <c r="D224" s="14">
        <v>3</v>
      </c>
      <c r="E224" s="14">
        <v>94</v>
      </c>
      <c r="F224" s="14">
        <v>199</v>
      </c>
      <c r="G224" s="14">
        <v>0</v>
      </c>
      <c r="H224" s="14">
        <v>179</v>
      </c>
      <c r="I224" s="14">
        <v>0</v>
      </c>
      <c r="J224" s="14">
        <v>0</v>
      </c>
      <c r="O224" s="14">
        <v>39</v>
      </c>
      <c r="P224" s="14">
        <v>94</v>
      </c>
    </row>
    <row r="225" spans="1:16">
      <c r="A225" s="14">
        <v>224</v>
      </c>
      <c r="B225" s="14">
        <v>53</v>
      </c>
      <c r="C225" s="14">
        <v>1</v>
      </c>
      <c r="D225" s="14">
        <v>4</v>
      </c>
      <c r="E225" s="14">
        <v>123</v>
      </c>
      <c r="F225" s="14">
        <v>282</v>
      </c>
      <c r="G225" s="14">
        <v>0</v>
      </c>
      <c r="H225" s="14">
        <v>95</v>
      </c>
      <c r="I225" s="14">
        <v>1</v>
      </c>
      <c r="J225" s="14">
        <v>3</v>
      </c>
      <c r="O225" s="14">
        <v>53</v>
      </c>
      <c r="P225" s="14">
        <v>123</v>
      </c>
    </row>
    <row r="226" spans="1:16">
      <c r="A226" s="14">
        <v>225</v>
      </c>
      <c r="B226" s="14">
        <v>63</v>
      </c>
      <c r="C226" s="14">
        <v>0</v>
      </c>
      <c r="D226" s="14">
        <v>4</v>
      </c>
      <c r="E226" s="14">
        <v>108</v>
      </c>
      <c r="F226" s="14">
        <v>269</v>
      </c>
      <c r="G226" s="14">
        <v>0</v>
      </c>
      <c r="H226" s="14">
        <v>169</v>
      </c>
      <c r="I226" s="14">
        <v>1</v>
      </c>
      <c r="J226" s="14">
        <v>1</v>
      </c>
      <c r="O226" s="14">
        <v>63</v>
      </c>
      <c r="P226" s="14">
        <v>108</v>
      </c>
    </row>
    <row r="227" spans="1:16">
      <c r="A227" s="14">
        <v>226</v>
      </c>
      <c r="B227" s="14">
        <v>34</v>
      </c>
      <c r="C227" s="14">
        <v>0</v>
      </c>
      <c r="D227" s="14">
        <v>2</v>
      </c>
      <c r="E227" s="14">
        <v>118</v>
      </c>
      <c r="F227" s="14">
        <v>210</v>
      </c>
      <c r="G227" s="14">
        <v>0</v>
      </c>
      <c r="H227" s="14">
        <v>192</v>
      </c>
      <c r="I227" s="14">
        <v>0</v>
      </c>
      <c r="J227" s="14">
        <v>0</v>
      </c>
      <c r="O227" s="14">
        <v>34</v>
      </c>
      <c r="P227" s="14">
        <v>118</v>
      </c>
    </row>
    <row r="228" spans="1:16">
      <c r="A228" s="14">
        <v>227</v>
      </c>
      <c r="B228" s="14">
        <v>47</v>
      </c>
      <c r="C228" s="14">
        <v>1</v>
      </c>
      <c r="D228" s="14">
        <v>4</v>
      </c>
      <c r="E228" s="14">
        <v>112</v>
      </c>
      <c r="F228" s="14">
        <v>204</v>
      </c>
      <c r="G228" s="14">
        <v>0</v>
      </c>
      <c r="H228" s="14">
        <v>143</v>
      </c>
      <c r="I228" s="14">
        <v>0</v>
      </c>
      <c r="J228" s="14">
        <v>0</v>
      </c>
      <c r="O228" s="14">
        <v>47</v>
      </c>
      <c r="P228" s="14">
        <v>112</v>
      </c>
    </row>
    <row r="229" spans="1:16">
      <c r="A229" s="14">
        <v>228</v>
      </c>
      <c r="B229" s="14">
        <v>67</v>
      </c>
      <c r="C229" s="14">
        <v>0</v>
      </c>
      <c r="D229" s="14">
        <v>3</v>
      </c>
      <c r="E229" s="14">
        <v>152</v>
      </c>
      <c r="F229" s="14">
        <v>277</v>
      </c>
      <c r="G229" s="14">
        <v>0</v>
      </c>
      <c r="H229" s="14">
        <v>172</v>
      </c>
      <c r="I229" s="14">
        <v>0</v>
      </c>
      <c r="J229" s="14">
        <v>0</v>
      </c>
      <c r="O229" s="14">
        <v>67</v>
      </c>
      <c r="P229" s="14">
        <v>152</v>
      </c>
    </row>
    <row r="230" spans="1:16">
      <c r="A230" s="14">
        <v>229</v>
      </c>
      <c r="B230" s="14">
        <v>54</v>
      </c>
      <c r="C230" s="14">
        <v>1</v>
      </c>
      <c r="D230" s="14">
        <v>4</v>
      </c>
      <c r="E230" s="14">
        <v>110</v>
      </c>
      <c r="F230" s="14">
        <v>206</v>
      </c>
      <c r="G230" s="14">
        <v>0</v>
      </c>
      <c r="H230" s="14">
        <v>108</v>
      </c>
      <c r="I230" s="14">
        <v>1</v>
      </c>
      <c r="J230" s="14">
        <v>3</v>
      </c>
      <c r="O230" s="14">
        <v>54</v>
      </c>
      <c r="P230" s="14">
        <v>110</v>
      </c>
    </row>
    <row r="231" spans="1:16">
      <c r="A231" s="14">
        <v>230</v>
      </c>
      <c r="B231" s="14">
        <v>66</v>
      </c>
      <c r="C231" s="14">
        <v>1</v>
      </c>
      <c r="D231" s="14">
        <v>4</v>
      </c>
      <c r="E231" s="14">
        <v>112</v>
      </c>
      <c r="F231" s="14">
        <v>212</v>
      </c>
      <c r="G231" s="14">
        <v>0</v>
      </c>
      <c r="H231" s="14">
        <v>132</v>
      </c>
      <c r="I231" s="14">
        <v>1</v>
      </c>
      <c r="J231" s="14">
        <v>2</v>
      </c>
      <c r="O231" s="14">
        <v>66</v>
      </c>
      <c r="P231" s="14">
        <v>112</v>
      </c>
    </row>
    <row r="232" spans="1:16">
      <c r="A232" s="14">
        <v>231</v>
      </c>
      <c r="B232" s="14">
        <v>52</v>
      </c>
      <c r="C232" s="14">
        <v>0</v>
      </c>
      <c r="D232" s="14">
        <v>3</v>
      </c>
      <c r="E232" s="14">
        <v>136</v>
      </c>
      <c r="F232" s="14">
        <v>196</v>
      </c>
      <c r="G232" s="14">
        <v>0</v>
      </c>
      <c r="H232" s="14">
        <v>169</v>
      </c>
      <c r="I232" s="14">
        <v>0</v>
      </c>
      <c r="J232" s="14">
        <v>0</v>
      </c>
      <c r="O232" s="14">
        <v>52</v>
      </c>
      <c r="P232" s="14">
        <v>136</v>
      </c>
    </row>
    <row r="233" spans="1:16">
      <c r="A233" s="14">
        <v>232</v>
      </c>
      <c r="B233" s="14">
        <v>55</v>
      </c>
      <c r="C233" s="14">
        <v>0</v>
      </c>
      <c r="D233" s="14">
        <v>4</v>
      </c>
      <c r="E233" s="14">
        <v>180</v>
      </c>
      <c r="F233" s="14">
        <v>327</v>
      </c>
      <c r="G233" s="14">
        <v>0</v>
      </c>
      <c r="H233" s="14">
        <v>117</v>
      </c>
      <c r="I233" s="14">
        <v>1</v>
      </c>
      <c r="J233" s="14">
        <v>2</v>
      </c>
      <c r="O233" s="14">
        <v>55</v>
      </c>
      <c r="P233" s="14">
        <v>180</v>
      </c>
    </row>
    <row r="234" spans="1:16">
      <c r="A234" s="14">
        <v>233</v>
      </c>
      <c r="B234" s="14">
        <v>49</v>
      </c>
      <c r="C234" s="14">
        <v>1</v>
      </c>
      <c r="D234" s="14">
        <v>3</v>
      </c>
      <c r="E234" s="14">
        <v>118</v>
      </c>
      <c r="F234" s="14">
        <v>149</v>
      </c>
      <c r="G234" s="14">
        <v>0</v>
      </c>
      <c r="H234" s="14">
        <v>126</v>
      </c>
      <c r="I234" s="14">
        <v>0</v>
      </c>
      <c r="J234" s="14">
        <v>1</v>
      </c>
      <c r="O234" s="14">
        <v>49</v>
      </c>
      <c r="P234" s="14">
        <v>118</v>
      </c>
    </row>
    <row r="235" spans="1:16">
      <c r="A235" s="14">
        <v>234</v>
      </c>
      <c r="B235" s="14">
        <v>74</v>
      </c>
      <c r="C235" s="14">
        <v>0</v>
      </c>
      <c r="D235" s="14">
        <v>2</v>
      </c>
      <c r="E235" s="14">
        <v>120</v>
      </c>
      <c r="F235" s="14">
        <v>269</v>
      </c>
      <c r="G235" s="14">
        <v>0</v>
      </c>
      <c r="H235" s="14">
        <v>121</v>
      </c>
      <c r="I235" s="14">
        <v>1</v>
      </c>
      <c r="J235" s="14">
        <v>0</v>
      </c>
      <c r="O235" s="14">
        <v>74</v>
      </c>
      <c r="P235" s="14">
        <v>120</v>
      </c>
    </row>
    <row r="236" spans="1:16">
      <c r="A236" s="14">
        <v>235</v>
      </c>
      <c r="B236" s="14">
        <v>54</v>
      </c>
      <c r="C236" s="14">
        <v>0</v>
      </c>
      <c r="D236" s="14">
        <v>3</v>
      </c>
      <c r="E236" s="14">
        <v>160</v>
      </c>
      <c r="F236" s="14">
        <v>201</v>
      </c>
      <c r="G236" s="14">
        <v>0</v>
      </c>
      <c r="H236" s="14">
        <v>163</v>
      </c>
      <c r="I236" s="14">
        <v>0</v>
      </c>
      <c r="J236" s="14">
        <v>0</v>
      </c>
      <c r="O236" s="14">
        <v>54</v>
      </c>
      <c r="P236" s="14">
        <v>160</v>
      </c>
    </row>
    <row r="237" spans="1:16">
      <c r="A237" s="14">
        <v>236</v>
      </c>
      <c r="B237" s="14">
        <v>54</v>
      </c>
      <c r="C237" s="14">
        <v>1</v>
      </c>
      <c r="D237" s="14">
        <v>4</v>
      </c>
      <c r="E237" s="14">
        <v>122</v>
      </c>
      <c r="F237" s="14">
        <v>286</v>
      </c>
      <c r="G237" s="14">
        <v>0</v>
      </c>
      <c r="H237" s="14">
        <v>116</v>
      </c>
      <c r="I237" s="14">
        <v>1</v>
      </c>
      <c r="J237" s="14">
        <v>3</v>
      </c>
      <c r="O237" s="14">
        <v>54</v>
      </c>
      <c r="P237" s="14">
        <v>122</v>
      </c>
    </row>
    <row r="238" spans="1:16">
      <c r="A238" s="14">
        <v>237</v>
      </c>
      <c r="B238" s="14">
        <v>56</v>
      </c>
      <c r="C238" s="14">
        <v>1</v>
      </c>
      <c r="D238" s="14">
        <v>4</v>
      </c>
      <c r="E238" s="14">
        <v>130</v>
      </c>
      <c r="F238" s="14">
        <v>283</v>
      </c>
      <c r="G238" s="14">
        <v>1</v>
      </c>
      <c r="H238" s="14">
        <v>103</v>
      </c>
      <c r="I238" s="14">
        <v>1</v>
      </c>
      <c r="J238" s="14">
        <v>2</v>
      </c>
      <c r="O238" s="14">
        <v>56</v>
      </c>
      <c r="P238" s="14">
        <v>130</v>
      </c>
    </row>
    <row r="239" spans="1:16">
      <c r="A239" s="14">
        <v>238</v>
      </c>
      <c r="B239" s="14">
        <v>46</v>
      </c>
      <c r="C239" s="14">
        <v>1</v>
      </c>
      <c r="D239" s="14">
        <v>4</v>
      </c>
      <c r="E239" s="14">
        <v>120</v>
      </c>
      <c r="F239" s="14">
        <v>249</v>
      </c>
      <c r="G239" s="14">
        <v>0</v>
      </c>
      <c r="H239" s="14">
        <v>144</v>
      </c>
      <c r="I239" s="14">
        <v>0</v>
      </c>
      <c r="J239" s="14">
        <v>1</v>
      </c>
      <c r="O239" s="14">
        <v>46</v>
      </c>
      <c r="P239" s="14">
        <v>120</v>
      </c>
    </row>
    <row r="240" spans="1:16">
      <c r="A240" s="14">
        <v>239</v>
      </c>
      <c r="B240" s="14">
        <v>49</v>
      </c>
      <c r="C240" s="14">
        <v>0</v>
      </c>
      <c r="D240" s="14">
        <v>2</v>
      </c>
      <c r="E240" s="14">
        <v>134</v>
      </c>
      <c r="F240" s="14">
        <v>271</v>
      </c>
      <c r="G240" s="14">
        <v>0</v>
      </c>
      <c r="H240" s="14">
        <v>162</v>
      </c>
      <c r="I240" s="14">
        <v>0</v>
      </c>
      <c r="J240" s="14">
        <v>0</v>
      </c>
      <c r="O240" s="14">
        <v>49</v>
      </c>
      <c r="P240" s="14">
        <v>134</v>
      </c>
    </row>
    <row r="241" spans="1:16">
      <c r="A241" s="14">
        <v>240</v>
      </c>
      <c r="B241" s="14">
        <v>42</v>
      </c>
      <c r="C241" s="14">
        <v>1</v>
      </c>
      <c r="D241" s="14">
        <v>2</v>
      </c>
      <c r="E241" s="14">
        <v>120</v>
      </c>
      <c r="F241" s="14">
        <v>295</v>
      </c>
      <c r="G241" s="14">
        <v>0</v>
      </c>
      <c r="H241" s="14">
        <v>162</v>
      </c>
      <c r="I241" s="14">
        <v>0</v>
      </c>
      <c r="J241" s="14">
        <v>0</v>
      </c>
      <c r="O241" s="14">
        <v>42</v>
      </c>
      <c r="P241" s="14">
        <v>120</v>
      </c>
    </row>
    <row r="242" spans="1:16">
      <c r="A242" s="14">
        <v>241</v>
      </c>
      <c r="B242" s="14">
        <v>41</v>
      </c>
      <c r="C242" s="14">
        <v>1</v>
      </c>
      <c r="D242" s="14">
        <v>2</v>
      </c>
      <c r="E242" s="14">
        <v>110</v>
      </c>
      <c r="F242" s="14">
        <v>235</v>
      </c>
      <c r="G242" s="14">
        <v>0</v>
      </c>
      <c r="H242" s="14">
        <v>153</v>
      </c>
      <c r="I242" s="14">
        <v>0</v>
      </c>
      <c r="J242" s="14">
        <v>0</v>
      </c>
      <c r="O242" s="14">
        <v>41</v>
      </c>
      <c r="P242" s="14">
        <v>110</v>
      </c>
    </row>
    <row r="243" spans="1:16">
      <c r="A243" s="14">
        <v>242</v>
      </c>
      <c r="B243" s="14">
        <v>41</v>
      </c>
      <c r="C243" s="14">
        <v>0</v>
      </c>
      <c r="D243" s="14">
        <v>2</v>
      </c>
      <c r="E243" s="14">
        <v>126</v>
      </c>
      <c r="F243" s="14">
        <v>306</v>
      </c>
      <c r="G243" s="14">
        <v>0</v>
      </c>
      <c r="H243" s="14">
        <v>163</v>
      </c>
      <c r="I243" s="14">
        <v>0</v>
      </c>
      <c r="J243" s="14">
        <v>0</v>
      </c>
      <c r="O243" s="14">
        <v>41</v>
      </c>
      <c r="P243" s="14">
        <v>126</v>
      </c>
    </row>
    <row r="244" spans="1:16">
      <c r="A244" s="14">
        <v>243</v>
      </c>
      <c r="B244" s="14">
        <v>49</v>
      </c>
      <c r="C244" s="14">
        <v>0</v>
      </c>
      <c r="D244" s="14">
        <v>4</v>
      </c>
      <c r="E244" s="14">
        <v>130</v>
      </c>
      <c r="F244" s="14">
        <v>269</v>
      </c>
      <c r="G244" s="14">
        <v>0</v>
      </c>
      <c r="H244" s="14">
        <v>163</v>
      </c>
      <c r="I244" s="14">
        <v>0</v>
      </c>
      <c r="J244" s="14">
        <v>0</v>
      </c>
      <c r="O244" s="14">
        <v>49</v>
      </c>
      <c r="P244" s="14">
        <v>130</v>
      </c>
    </row>
    <row r="245" spans="1:16">
      <c r="A245" s="14">
        <v>244</v>
      </c>
      <c r="B245" s="14">
        <v>61</v>
      </c>
      <c r="C245" s="14">
        <v>1</v>
      </c>
      <c r="D245" s="14">
        <v>1</v>
      </c>
      <c r="E245" s="14">
        <v>134</v>
      </c>
      <c r="F245" s="14">
        <v>234</v>
      </c>
      <c r="G245" s="14">
        <v>0</v>
      </c>
      <c r="H245" s="14">
        <v>145</v>
      </c>
      <c r="I245" s="14">
        <v>0</v>
      </c>
      <c r="J245" s="14">
        <v>2</v>
      </c>
      <c r="O245" s="14">
        <v>61</v>
      </c>
      <c r="P245" s="14">
        <v>134</v>
      </c>
    </row>
    <row r="246" spans="1:16">
      <c r="A246" s="14">
        <v>245</v>
      </c>
      <c r="B246" s="14">
        <v>60</v>
      </c>
      <c r="C246" s="14">
        <v>0</v>
      </c>
      <c r="D246" s="14">
        <v>3</v>
      </c>
      <c r="E246" s="14">
        <v>120</v>
      </c>
      <c r="F246" s="14">
        <v>178</v>
      </c>
      <c r="G246" s="14">
        <v>1</v>
      </c>
      <c r="H246" s="14">
        <v>96</v>
      </c>
      <c r="I246" s="14">
        <v>0</v>
      </c>
      <c r="J246" s="14">
        <v>0</v>
      </c>
      <c r="O246" s="14">
        <v>60</v>
      </c>
      <c r="P246" s="14">
        <v>120</v>
      </c>
    </row>
    <row r="247" spans="1:16">
      <c r="A247" s="14">
        <v>246</v>
      </c>
      <c r="B247" s="14">
        <v>67</v>
      </c>
      <c r="C247" s="14">
        <v>1</v>
      </c>
      <c r="D247" s="14">
        <v>4</v>
      </c>
      <c r="E247" s="14">
        <v>120</v>
      </c>
      <c r="F247" s="14">
        <v>237</v>
      </c>
      <c r="G247" s="14">
        <v>0</v>
      </c>
      <c r="H247" s="14">
        <v>71</v>
      </c>
      <c r="I247" s="14">
        <v>0</v>
      </c>
      <c r="J247" s="14">
        <v>2</v>
      </c>
      <c r="O247" s="14">
        <v>67</v>
      </c>
      <c r="P247" s="14">
        <v>120</v>
      </c>
    </row>
    <row r="248" spans="1:16">
      <c r="A248" s="14">
        <v>247</v>
      </c>
      <c r="B248" s="14">
        <v>58</v>
      </c>
      <c r="C248" s="14">
        <v>1</v>
      </c>
      <c r="D248" s="14">
        <v>4</v>
      </c>
      <c r="E248" s="14">
        <v>100</v>
      </c>
      <c r="F248" s="14">
        <v>234</v>
      </c>
      <c r="G248" s="14">
        <v>0</v>
      </c>
      <c r="H248" s="14">
        <v>156</v>
      </c>
      <c r="I248" s="14">
        <v>0</v>
      </c>
      <c r="J248" s="14">
        <v>2</v>
      </c>
      <c r="O248" s="14">
        <v>58</v>
      </c>
      <c r="P248" s="14">
        <v>100</v>
      </c>
    </row>
    <row r="249" spans="1:16">
      <c r="A249" s="14">
        <v>248</v>
      </c>
      <c r="B249" s="14">
        <v>47</v>
      </c>
      <c r="C249" s="14">
        <v>1</v>
      </c>
      <c r="D249" s="14">
        <v>4</v>
      </c>
      <c r="E249" s="14">
        <v>110</v>
      </c>
      <c r="F249" s="14">
        <v>275</v>
      </c>
      <c r="G249" s="14">
        <v>0</v>
      </c>
      <c r="H249" s="14">
        <v>118</v>
      </c>
      <c r="I249" s="14">
        <v>1</v>
      </c>
      <c r="J249" s="14">
        <v>1</v>
      </c>
      <c r="O249" s="14">
        <v>47</v>
      </c>
      <c r="P249" s="14">
        <v>110</v>
      </c>
    </row>
    <row r="250" spans="1:16">
      <c r="A250" s="14">
        <v>249</v>
      </c>
      <c r="B250" s="14">
        <v>52</v>
      </c>
      <c r="C250" s="14">
        <v>1</v>
      </c>
      <c r="D250" s="14">
        <v>4</v>
      </c>
      <c r="E250" s="14">
        <v>125</v>
      </c>
      <c r="F250" s="14">
        <v>212</v>
      </c>
      <c r="G250" s="14">
        <v>0</v>
      </c>
      <c r="H250" s="14">
        <v>168</v>
      </c>
      <c r="I250" s="14">
        <v>0</v>
      </c>
      <c r="J250" s="14">
        <v>3</v>
      </c>
      <c r="O250" s="14">
        <v>52</v>
      </c>
      <c r="P250" s="14">
        <v>125</v>
      </c>
    </row>
    <row r="251" spans="1:16">
      <c r="A251" s="14">
        <v>250</v>
      </c>
      <c r="B251" s="14">
        <v>62</v>
      </c>
      <c r="C251" s="14">
        <v>1</v>
      </c>
      <c r="D251" s="14">
        <v>2</v>
      </c>
      <c r="E251" s="14">
        <v>128</v>
      </c>
      <c r="F251" s="14">
        <v>208</v>
      </c>
      <c r="G251" s="14">
        <v>1</v>
      </c>
      <c r="H251" s="14">
        <v>140</v>
      </c>
      <c r="I251" s="14">
        <v>0</v>
      </c>
      <c r="J251" s="14">
        <v>0</v>
      </c>
      <c r="O251" s="14">
        <v>62</v>
      </c>
      <c r="P251" s="14">
        <v>128</v>
      </c>
    </row>
    <row r="252" spans="1:16">
      <c r="A252" s="14">
        <v>251</v>
      </c>
      <c r="B252" s="14">
        <v>57</v>
      </c>
      <c r="C252" s="14">
        <v>1</v>
      </c>
      <c r="D252" s="14">
        <v>4</v>
      </c>
      <c r="E252" s="14">
        <v>110</v>
      </c>
      <c r="F252" s="14">
        <v>201</v>
      </c>
      <c r="G252" s="14">
        <v>0</v>
      </c>
      <c r="H252" s="14">
        <v>126</v>
      </c>
      <c r="I252" s="14">
        <v>1</v>
      </c>
      <c r="J252" s="14">
        <v>0</v>
      </c>
      <c r="O252" s="14">
        <v>57</v>
      </c>
      <c r="P252" s="14">
        <v>110</v>
      </c>
    </row>
    <row r="253" spans="1:16">
      <c r="A253" s="14">
        <v>252</v>
      </c>
      <c r="B253" s="14">
        <v>58</v>
      </c>
      <c r="C253" s="14">
        <v>1</v>
      </c>
      <c r="D253" s="14">
        <v>4</v>
      </c>
      <c r="E253" s="14">
        <v>146</v>
      </c>
      <c r="F253" s="14">
        <v>218</v>
      </c>
      <c r="G253" s="14">
        <v>0</v>
      </c>
      <c r="H253" s="14">
        <v>105</v>
      </c>
      <c r="I253" s="14">
        <v>0</v>
      </c>
      <c r="J253" s="14">
        <v>1</v>
      </c>
      <c r="O253" s="14">
        <v>58</v>
      </c>
      <c r="P253" s="14">
        <v>146</v>
      </c>
    </row>
    <row r="254" spans="1:16">
      <c r="A254" s="14">
        <v>253</v>
      </c>
      <c r="B254" s="14">
        <v>64</v>
      </c>
      <c r="C254" s="14">
        <v>1</v>
      </c>
      <c r="D254" s="14">
        <v>4</v>
      </c>
      <c r="E254" s="14">
        <v>128</v>
      </c>
      <c r="F254" s="14">
        <v>263</v>
      </c>
      <c r="G254" s="14">
        <v>0</v>
      </c>
      <c r="H254" s="14">
        <v>105</v>
      </c>
      <c r="I254" s="14">
        <v>1</v>
      </c>
      <c r="J254" s="14">
        <v>0</v>
      </c>
      <c r="O254" s="14">
        <v>64</v>
      </c>
      <c r="P254" s="14">
        <v>128</v>
      </c>
    </row>
    <row r="255" spans="1:16">
      <c r="A255" s="14">
        <v>254</v>
      </c>
      <c r="B255" s="14">
        <v>51</v>
      </c>
      <c r="C255" s="14">
        <v>0</v>
      </c>
      <c r="D255" s="14">
        <v>3</v>
      </c>
      <c r="E255" s="14">
        <v>120</v>
      </c>
      <c r="F255" s="14">
        <v>295</v>
      </c>
      <c r="G255" s="14">
        <v>0</v>
      </c>
      <c r="H255" s="14">
        <v>157</v>
      </c>
      <c r="I255" s="14">
        <v>0</v>
      </c>
      <c r="J255" s="14">
        <v>0</v>
      </c>
      <c r="O255" s="14">
        <v>51</v>
      </c>
      <c r="P255" s="14">
        <v>120</v>
      </c>
    </row>
    <row r="256" spans="1:16">
      <c r="A256" s="14">
        <v>255</v>
      </c>
      <c r="B256" s="14">
        <v>43</v>
      </c>
      <c r="C256" s="14">
        <v>1</v>
      </c>
      <c r="D256" s="14">
        <v>4</v>
      </c>
      <c r="E256" s="14">
        <v>115</v>
      </c>
      <c r="F256" s="14">
        <v>303</v>
      </c>
      <c r="G256" s="14">
        <v>0</v>
      </c>
      <c r="H256" s="14">
        <v>181</v>
      </c>
      <c r="I256" s="14">
        <v>0</v>
      </c>
      <c r="J256" s="14">
        <v>0</v>
      </c>
      <c r="O256" s="14">
        <v>43</v>
      </c>
      <c r="P256" s="14">
        <v>115</v>
      </c>
    </row>
    <row r="257" spans="1:16">
      <c r="A257" s="14">
        <v>256</v>
      </c>
      <c r="B257" s="14">
        <v>42</v>
      </c>
      <c r="C257" s="14">
        <v>0</v>
      </c>
      <c r="D257" s="14">
        <v>3</v>
      </c>
      <c r="E257" s="14">
        <v>120</v>
      </c>
      <c r="F257" s="14">
        <v>209</v>
      </c>
      <c r="G257" s="14">
        <v>0</v>
      </c>
      <c r="H257" s="14">
        <v>173</v>
      </c>
      <c r="I257" s="14">
        <v>0</v>
      </c>
      <c r="J257" s="14">
        <v>0</v>
      </c>
      <c r="O257" s="14">
        <v>42</v>
      </c>
      <c r="P257" s="14">
        <v>120</v>
      </c>
    </row>
    <row r="258" spans="1:16">
      <c r="A258" s="14">
        <v>257</v>
      </c>
      <c r="B258" s="14">
        <v>67</v>
      </c>
      <c r="C258" s="14">
        <v>0</v>
      </c>
      <c r="D258" s="14">
        <v>4</v>
      </c>
      <c r="E258" s="14">
        <v>106</v>
      </c>
      <c r="F258" s="14">
        <v>223</v>
      </c>
      <c r="G258" s="14">
        <v>0</v>
      </c>
      <c r="H258" s="14">
        <v>142</v>
      </c>
      <c r="I258" s="14">
        <v>0</v>
      </c>
      <c r="J258" s="14">
        <v>0</v>
      </c>
      <c r="O258" s="14">
        <v>67</v>
      </c>
      <c r="P258" s="14">
        <v>106</v>
      </c>
    </row>
    <row r="259" spans="1:16">
      <c r="A259" s="14">
        <v>258</v>
      </c>
      <c r="B259" s="14">
        <v>76</v>
      </c>
      <c r="C259" s="14">
        <v>0</v>
      </c>
      <c r="D259" s="14">
        <v>3</v>
      </c>
      <c r="E259" s="14">
        <v>140</v>
      </c>
      <c r="F259" s="14">
        <v>197</v>
      </c>
      <c r="G259" s="14">
        <v>0</v>
      </c>
      <c r="H259" s="14">
        <v>116</v>
      </c>
      <c r="I259" s="14">
        <v>0</v>
      </c>
      <c r="J259" s="14">
        <v>0</v>
      </c>
      <c r="O259" s="14">
        <v>76</v>
      </c>
      <c r="P259" s="14">
        <v>140</v>
      </c>
    </row>
    <row r="260" spans="1:16">
      <c r="A260" s="14">
        <v>259</v>
      </c>
      <c r="B260" s="14">
        <v>70</v>
      </c>
      <c r="C260" s="14">
        <v>1</v>
      </c>
      <c r="D260" s="14">
        <v>2</v>
      </c>
      <c r="E260" s="14">
        <v>156</v>
      </c>
      <c r="F260" s="14">
        <v>245</v>
      </c>
      <c r="G260" s="14">
        <v>0</v>
      </c>
      <c r="H260" s="14">
        <v>143</v>
      </c>
      <c r="I260" s="14">
        <v>0</v>
      </c>
      <c r="J260" s="14">
        <v>0</v>
      </c>
      <c r="O260" s="14">
        <v>70</v>
      </c>
      <c r="P260" s="14">
        <v>156</v>
      </c>
    </row>
    <row r="261" spans="1:16">
      <c r="A261" s="14">
        <v>260</v>
      </c>
      <c r="B261" s="14">
        <v>57</v>
      </c>
      <c r="C261" s="14">
        <v>1</v>
      </c>
      <c r="D261" s="14">
        <v>2</v>
      </c>
      <c r="E261" s="14">
        <v>124</v>
      </c>
      <c r="F261" s="14">
        <v>261</v>
      </c>
      <c r="G261" s="14">
        <v>0</v>
      </c>
      <c r="H261" s="14">
        <v>141</v>
      </c>
      <c r="I261" s="14">
        <v>0</v>
      </c>
      <c r="J261" s="14">
        <v>1</v>
      </c>
      <c r="O261" s="14">
        <v>57</v>
      </c>
      <c r="P261" s="14">
        <v>124</v>
      </c>
    </row>
    <row r="262" spans="1:16">
      <c r="A262" s="14">
        <v>261</v>
      </c>
      <c r="B262" s="14">
        <v>44</v>
      </c>
      <c r="C262" s="14">
        <v>0</v>
      </c>
      <c r="D262" s="14">
        <v>3</v>
      </c>
      <c r="E262" s="14">
        <v>118</v>
      </c>
      <c r="F262" s="14">
        <v>242</v>
      </c>
      <c r="G262" s="14">
        <v>0</v>
      </c>
      <c r="H262" s="14">
        <v>149</v>
      </c>
      <c r="I262" s="14">
        <v>0</v>
      </c>
      <c r="J262" s="14">
        <v>0</v>
      </c>
      <c r="O262" s="14">
        <v>44</v>
      </c>
      <c r="P262" s="14">
        <v>118</v>
      </c>
    </row>
    <row r="263" spans="1:16">
      <c r="A263" s="14">
        <v>262</v>
      </c>
      <c r="B263" s="14">
        <v>58</v>
      </c>
      <c r="C263" s="14">
        <v>0</v>
      </c>
      <c r="D263" s="14">
        <v>2</v>
      </c>
      <c r="E263" s="14">
        <v>136</v>
      </c>
      <c r="F263" s="14">
        <v>319</v>
      </c>
      <c r="G263" s="14">
        <v>1</v>
      </c>
      <c r="H263" s="14">
        <v>152</v>
      </c>
      <c r="I263" s="14">
        <v>0</v>
      </c>
      <c r="J263" s="14">
        <v>3</v>
      </c>
      <c r="O263" s="14">
        <v>58</v>
      </c>
      <c r="P263" s="14">
        <v>136</v>
      </c>
    </row>
    <row r="264" spans="1:16">
      <c r="A264" s="14">
        <v>263</v>
      </c>
      <c r="B264" s="14">
        <v>60</v>
      </c>
      <c r="C264" s="14">
        <v>0</v>
      </c>
      <c r="D264" s="14">
        <v>1</v>
      </c>
      <c r="E264" s="14">
        <v>150</v>
      </c>
      <c r="F264" s="14">
        <v>240</v>
      </c>
      <c r="G264" s="14">
        <v>0</v>
      </c>
      <c r="H264" s="14">
        <v>171</v>
      </c>
      <c r="I264" s="14">
        <v>0</v>
      </c>
      <c r="J264" s="14">
        <v>0</v>
      </c>
      <c r="O264" s="14">
        <v>60</v>
      </c>
      <c r="P264" s="14">
        <v>150</v>
      </c>
    </row>
    <row r="265" spans="1:16">
      <c r="A265" s="14">
        <v>264</v>
      </c>
      <c r="B265" s="14">
        <v>44</v>
      </c>
      <c r="C265" s="14">
        <v>1</v>
      </c>
      <c r="D265" s="14">
        <v>3</v>
      </c>
      <c r="E265" s="14">
        <v>120</v>
      </c>
      <c r="F265" s="14">
        <v>226</v>
      </c>
      <c r="G265" s="14">
        <v>0</v>
      </c>
      <c r="H265" s="14">
        <v>169</v>
      </c>
      <c r="I265" s="14">
        <v>0</v>
      </c>
      <c r="J265" s="14">
        <v>0</v>
      </c>
      <c r="O265" s="14">
        <v>44</v>
      </c>
      <c r="P265" s="14">
        <v>120</v>
      </c>
    </row>
    <row r="266" spans="1:16">
      <c r="A266" s="14">
        <v>265</v>
      </c>
      <c r="B266" s="14">
        <v>61</v>
      </c>
      <c r="C266" s="14">
        <v>1</v>
      </c>
      <c r="D266" s="14">
        <v>4</v>
      </c>
      <c r="E266" s="14">
        <v>138</v>
      </c>
      <c r="F266" s="14">
        <v>166</v>
      </c>
      <c r="G266" s="14">
        <v>0</v>
      </c>
      <c r="H266" s="14">
        <v>125</v>
      </c>
      <c r="I266" s="14">
        <v>1</v>
      </c>
      <c r="J266" s="14">
        <v>4</v>
      </c>
      <c r="O266" s="14">
        <v>61</v>
      </c>
      <c r="P266" s="14">
        <v>138</v>
      </c>
    </row>
    <row r="267" spans="1:16">
      <c r="A267" s="14">
        <v>266</v>
      </c>
      <c r="B267" s="14">
        <v>42</v>
      </c>
      <c r="C267" s="14">
        <v>1</v>
      </c>
      <c r="D267" s="14">
        <v>4</v>
      </c>
      <c r="E267" s="14">
        <v>136</v>
      </c>
      <c r="F267" s="14">
        <v>315</v>
      </c>
      <c r="G267" s="14">
        <v>0</v>
      </c>
      <c r="H267" s="14">
        <v>125</v>
      </c>
      <c r="I267" s="14">
        <v>1</v>
      </c>
      <c r="J267" s="14">
        <v>2</v>
      </c>
      <c r="O267" s="14">
        <v>42</v>
      </c>
      <c r="P267" s="14">
        <v>136</v>
      </c>
    </row>
    <row r="268" spans="1:16">
      <c r="A268" s="14">
        <v>267</v>
      </c>
      <c r="B268" s="14">
        <v>52</v>
      </c>
      <c r="C268" s="14">
        <v>1</v>
      </c>
      <c r="D268" s="14">
        <v>4</v>
      </c>
      <c r="E268" s="14">
        <v>128</v>
      </c>
      <c r="F268" s="14">
        <v>204</v>
      </c>
      <c r="G268" s="14">
        <v>1</v>
      </c>
      <c r="H268" s="14">
        <v>156</v>
      </c>
      <c r="I268" s="14">
        <v>1</v>
      </c>
      <c r="J268" s="14">
        <v>2</v>
      </c>
      <c r="O268" s="14">
        <v>52</v>
      </c>
      <c r="P268" s="14">
        <v>128</v>
      </c>
    </row>
    <row r="269" spans="1:16">
      <c r="A269" s="14">
        <v>268</v>
      </c>
      <c r="B269" s="14">
        <v>59</v>
      </c>
      <c r="C269" s="14">
        <v>1</v>
      </c>
      <c r="D269" s="14">
        <v>3</v>
      </c>
      <c r="E269" s="14">
        <v>126</v>
      </c>
      <c r="F269" s="14">
        <v>218</v>
      </c>
      <c r="G269" s="14">
        <v>1</v>
      </c>
      <c r="H269" s="14">
        <v>134</v>
      </c>
      <c r="I269" s="14">
        <v>0</v>
      </c>
      <c r="J269" s="14">
        <v>2</v>
      </c>
      <c r="O269" s="14">
        <v>59</v>
      </c>
      <c r="P269" s="14">
        <v>126</v>
      </c>
    </row>
    <row r="270" spans="1:16">
      <c r="A270" s="14">
        <v>269</v>
      </c>
      <c r="B270" s="14">
        <v>40</v>
      </c>
      <c r="C270" s="14">
        <v>1</v>
      </c>
      <c r="D270" s="14">
        <v>4</v>
      </c>
      <c r="E270" s="14">
        <v>152</v>
      </c>
      <c r="F270" s="14">
        <v>223</v>
      </c>
      <c r="G270" s="14">
        <v>0</v>
      </c>
      <c r="H270" s="14">
        <v>181</v>
      </c>
      <c r="I270" s="14">
        <v>0</v>
      </c>
      <c r="J270" s="14">
        <v>1</v>
      </c>
      <c r="O270" s="14">
        <v>40</v>
      </c>
      <c r="P270" s="14">
        <v>152</v>
      </c>
    </row>
    <row r="271" spans="1:16">
      <c r="A271" s="14">
        <v>270</v>
      </c>
      <c r="B271" s="14">
        <v>42</v>
      </c>
      <c r="C271" s="14">
        <v>1</v>
      </c>
      <c r="D271" s="14">
        <v>3</v>
      </c>
      <c r="E271" s="14">
        <v>130</v>
      </c>
      <c r="F271" s="14">
        <v>180</v>
      </c>
      <c r="G271" s="14">
        <v>0</v>
      </c>
      <c r="H271" s="14">
        <v>150</v>
      </c>
      <c r="I271" s="14">
        <v>0</v>
      </c>
      <c r="J271" s="14">
        <v>0</v>
      </c>
      <c r="O271" s="14">
        <v>42</v>
      </c>
      <c r="P271" s="14">
        <v>130</v>
      </c>
    </row>
    <row r="272" spans="1:16">
      <c r="A272" s="14">
        <v>271</v>
      </c>
      <c r="B272" s="14">
        <v>61</v>
      </c>
      <c r="C272" s="14">
        <v>1</v>
      </c>
      <c r="D272" s="14">
        <v>4</v>
      </c>
      <c r="E272" s="14">
        <v>140</v>
      </c>
      <c r="F272" s="14">
        <v>207</v>
      </c>
      <c r="G272" s="14">
        <v>0</v>
      </c>
      <c r="H272" s="14">
        <v>138</v>
      </c>
      <c r="I272" s="14">
        <v>1</v>
      </c>
      <c r="J272" s="14">
        <v>1</v>
      </c>
      <c r="O272" s="14">
        <v>61</v>
      </c>
      <c r="P272" s="14">
        <v>140</v>
      </c>
    </row>
    <row r="273" spans="1:16">
      <c r="A273" s="14">
        <v>272</v>
      </c>
      <c r="B273" s="14">
        <v>66</v>
      </c>
      <c r="C273" s="14">
        <v>1</v>
      </c>
      <c r="D273" s="14">
        <v>4</v>
      </c>
      <c r="E273" s="14">
        <v>160</v>
      </c>
      <c r="F273" s="14">
        <v>228</v>
      </c>
      <c r="G273" s="14">
        <v>0</v>
      </c>
      <c r="H273" s="14">
        <v>138</v>
      </c>
      <c r="I273" s="14">
        <v>0</v>
      </c>
      <c r="J273" s="14">
        <v>0</v>
      </c>
      <c r="O273" s="14">
        <v>66</v>
      </c>
      <c r="P273" s="14">
        <v>160</v>
      </c>
    </row>
    <row r="274" spans="1:16">
      <c r="A274" s="14">
        <v>273</v>
      </c>
      <c r="B274" s="14">
        <v>46</v>
      </c>
      <c r="C274" s="14">
        <v>1</v>
      </c>
      <c r="D274" s="14">
        <v>4</v>
      </c>
      <c r="E274" s="14">
        <v>140</v>
      </c>
      <c r="F274" s="14">
        <v>311</v>
      </c>
      <c r="G274" s="14">
        <v>0</v>
      </c>
      <c r="H274" s="14">
        <v>120</v>
      </c>
      <c r="I274" s="14">
        <v>1</v>
      </c>
      <c r="J274" s="14">
        <v>2</v>
      </c>
      <c r="O274" s="14">
        <v>46</v>
      </c>
      <c r="P274" s="14">
        <v>140</v>
      </c>
    </row>
    <row r="275" spans="1:16">
      <c r="A275" s="14">
        <v>274</v>
      </c>
      <c r="B275" s="14">
        <v>71</v>
      </c>
      <c r="C275" s="14">
        <v>0</v>
      </c>
      <c r="D275" s="14">
        <v>4</v>
      </c>
      <c r="E275" s="14">
        <v>112</v>
      </c>
      <c r="F275" s="14">
        <v>149</v>
      </c>
      <c r="G275" s="14">
        <v>0</v>
      </c>
      <c r="H275" s="14">
        <v>125</v>
      </c>
      <c r="I275" s="14">
        <v>0</v>
      </c>
      <c r="J275" s="14">
        <v>0</v>
      </c>
      <c r="O275" s="14">
        <v>71</v>
      </c>
      <c r="P275" s="14">
        <v>112</v>
      </c>
    </row>
    <row r="276" spans="1:16">
      <c r="A276" s="14">
        <v>275</v>
      </c>
      <c r="B276" s="14">
        <v>59</v>
      </c>
      <c r="C276" s="14">
        <v>1</v>
      </c>
      <c r="D276" s="14">
        <v>1</v>
      </c>
      <c r="E276" s="14">
        <v>134</v>
      </c>
      <c r="F276" s="14">
        <v>204</v>
      </c>
      <c r="G276" s="14">
        <v>0</v>
      </c>
      <c r="H276" s="14">
        <v>162</v>
      </c>
      <c r="I276" s="14">
        <v>0</v>
      </c>
      <c r="J276" s="14">
        <v>1</v>
      </c>
      <c r="O276" s="14">
        <v>59</v>
      </c>
      <c r="P276" s="14">
        <v>134</v>
      </c>
    </row>
    <row r="277" spans="1:16">
      <c r="A277" s="14">
        <v>276</v>
      </c>
      <c r="B277" s="14">
        <v>64</v>
      </c>
      <c r="C277" s="14">
        <v>1</v>
      </c>
      <c r="D277" s="14">
        <v>1</v>
      </c>
      <c r="E277" s="14">
        <v>170</v>
      </c>
      <c r="F277" s="14">
        <v>227</v>
      </c>
      <c r="G277" s="14">
        <v>0</v>
      </c>
      <c r="H277" s="14">
        <v>155</v>
      </c>
      <c r="I277" s="14">
        <v>0</v>
      </c>
      <c r="J277" s="14">
        <v>0</v>
      </c>
      <c r="O277" s="14">
        <v>64</v>
      </c>
      <c r="P277" s="14">
        <v>170</v>
      </c>
    </row>
    <row r="278" spans="1:16">
      <c r="A278" s="14">
        <v>277</v>
      </c>
      <c r="B278" s="14">
        <v>66</v>
      </c>
      <c r="C278" s="14">
        <v>0</v>
      </c>
      <c r="D278" s="14">
        <v>3</v>
      </c>
      <c r="E278" s="14">
        <v>146</v>
      </c>
      <c r="F278" s="14">
        <v>278</v>
      </c>
      <c r="G278" s="14">
        <v>0</v>
      </c>
      <c r="H278" s="14">
        <v>152</v>
      </c>
      <c r="I278" s="14">
        <v>0</v>
      </c>
      <c r="J278" s="14">
        <v>0</v>
      </c>
      <c r="O278" s="14">
        <v>66</v>
      </c>
      <c r="P278" s="14">
        <v>146</v>
      </c>
    </row>
    <row r="279" spans="1:16">
      <c r="A279" s="14">
        <v>278</v>
      </c>
      <c r="B279" s="14">
        <v>39</v>
      </c>
      <c r="C279" s="14">
        <v>0</v>
      </c>
      <c r="D279" s="14">
        <v>3</v>
      </c>
      <c r="E279" s="14">
        <v>138</v>
      </c>
      <c r="F279" s="14">
        <v>220</v>
      </c>
      <c r="G279" s="14">
        <v>0</v>
      </c>
      <c r="H279" s="14">
        <v>152</v>
      </c>
      <c r="I279" s="14">
        <v>0</v>
      </c>
      <c r="J279" s="14">
        <v>0</v>
      </c>
      <c r="O279" s="14">
        <v>39</v>
      </c>
      <c r="P279" s="14">
        <v>138</v>
      </c>
    </row>
    <row r="280" spans="1:16">
      <c r="A280" s="14">
        <v>279</v>
      </c>
      <c r="B280" s="14">
        <v>57</v>
      </c>
      <c r="C280" s="14">
        <v>1</v>
      </c>
      <c r="D280" s="14">
        <v>2</v>
      </c>
      <c r="E280" s="14">
        <v>154</v>
      </c>
      <c r="F280" s="14">
        <v>232</v>
      </c>
      <c r="G280" s="14">
        <v>0</v>
      </c>
      <c r="H280" s="14">
        <v>164</v>
      </c>
      <c r="I280" s="14">
        <v>0</v>
      </c>
      <c r="J280" s="14">
        <v>1</v>
      </c>
      <c r="O280" s="14">
        <v>57</v>
      </c>
      <c r="P280" s="14">
        <v>154</v>
      </c>
    </row>
    <row r="281" spans="1:16">
      <c r="A281" s="14">
        <v>280</v>
      </c>
      <c r="B281" s="14">
        <v>58</v>
      </c>
      <c r="C281" s="14">
        <v>0</v>
      </c>
      <c r="D281" s="14">
        <v>4</v>
      </c>
      <c r="E281" s="14">
        <v>130</v>
      </c>
      <c r="F281" s="14">
        <v>197</v>
      </c>
      <c r="G281" s="14">
        <v>0</v>
      </c>
      <c r="H281" s="14">
        <v>131</v>
      </c>
      <c r="I281" s="14">
        <v>0</v>
      </c>
      <c r="J281" s="14">
        <v>0</v>
      </c>
      <c r="O281" s="14">
        <v>58</v>
      </c>
      <c r="P281" s="14">
        <v>130</v>
      </c>
    </row>
    <row r="282" spans="1:16">
      <c r="A282" s="14">
        <v>281</v>
      </c>
      <c r="B282" s="14">
        <v>57</v>
      </c>
      <c r="C282" s="14">
        <v>1</v>
      </c>
      <c r="D282" s="14">
        <v>4</v>
      </c>
      <c r="E282" s="14">
        <v>110</v>
      </c>
      <c r="F282" s="14">
        <v>335</v>
      </c>
      <c r="G282" s="14">
        <v>0</v>
      </c>
      <c r="H282" s="14">
        <v>143</v>
      </c>
      <c r="I282" s="14">
        <v>1</v>
      </c>
      <c r="J282" s="14">
        <v>2</v>
      </c>
      <c r="O282" s="14">
        <v>57</v>
      </c>
      <c r="P282" s="14">
        <v>110</v>
      </c>
    </row>
    <row r="283" spans="1:16">
      <c r="A283" s="14">
        <v>282</v>
      </c>
      <c r="B283" s="14">
        <v>47</v>
      </c>
      <c r="C283" s="14">
        <v>1</v>
      </c>
      <c r="D283" s="14">
        <v>3</v>
      </c>
      <c r="E283" s="14">
        <v>130</v>
      </c>
      <c r="F283" s="14">
        <v>253</v>
      </c>
      <c r="G283" s="14">
        <v>0</v>
      </c>
      <c r="H283" s="14">
        <v>179</v>
      </c>
      <c r="I283" s="14">
        <v>0</v>
      </c>
      <c r="J283" s="14">
        <v>0</v>
      </c>
      <c r="O283" s="14">
        <v>47</v>
      </c>
      <c r="P283" s="14">
        <v>130</v>
      </c>
    </row>
    <row r="284" spans="1:16">
      <c r="A284" s="14">
        <v>283</v>
      </c>
      <c r="B284" s="14">
        <v>55</v>
      </c>
      <c r="C284" s="14">
        <v>0</v>
      </c>
      <c r="D284" s="14">
        <v>4</v>
      </c>
      <c r="E284" s="14">
        <v>128</v>
      </c>
      <c r="F284" s="14">
        <v>205</v>
      </c>
      <c r="G284" s="14">
        <v>0</v>
      </c>
      <c r="H284" s="14">
        <v>130</v>
      </c>
      <c r="I284" s="14">
        <v>1</v>
      </c>
      <c r="J284" s="14">
        <v>3</v>
      </c>
      <c r="O284" s="14">
        <v>55</v>
      </c>
      <c r="P284" s="14">
        <v>128</v>
      </c>
    </row>
    <row r="285" spans="1:16">
      <c r="A285" s="14">
        <v>284</v>
      </c>
      <c r="B285" s="14">
        <v>35</v>
      </c>
      <c r="C285" s="14">
        <v>1</v>
      </c>
      <c r="D285" s="14">
        <v>2</v>
      </c>
      <c r="E285" s="14">
        <v>122</v>
      </c>
      <c r="F285" s="14">
        <v>192</v>
      </c>
      <c r="G285" s="14">
        <v>0</v>
      </c>
      <c r="H285" s="14">
        <v>174</v>
      </c>
      <c r="I285" s="14">
        <v>0</v>
      </c>
      <c r="J285" s="14">
        <v>0</v>
      </c>
      <c r="O285" s="14">
        <v>35</v>
      </c>
      <c r="P285" s="14">
        <v>122</v>
      </c>
    </row>
    <row r="286" spans="1:16">
      <c r="A286" s="14">
        <v>285</v>
      </c>
      <c r="B286" s="14">
        <v>61</v>
      </c>
      <c r="C286" s="14">
        <v>1</v>
      </c>
      <c r="D286" s="14">
        <v>4</v>
      </c>
      <c r="E286" s="14">
        <v>148</v>
      </c>
      <c r="F286" s="14">
        <v>203</v>
      </c>
      <c r="G286" s="14">
        <v>0</v>
      </c>
      <c r="H286" s="14">
        <v>161</v>
      </c>
      <c r="I286" s="14">
        <v>0</v>
      </c>
      <c r="J286" s="14">
        <v>2</v>
      </c>
      <c r="O286" s="14">
        <v>61</v>
      </c>
      <c r="P286" s="14">
        <v>148</v>
      </c>
    </row>
    <row r="287" spans="1:16">
      <c r="A287" s="14">
        <v>286</v>
      </c>
      <c r="B287" s="14">
        <v>58</v>
      </c>
      <c r="C287" s="14">
        <v>1</v>
      </c>
      <c r="D287" s="14">
        <v>4</v>
      </c>
      <c r="E287" s="14">
        <v>114</v>
      </c>
      <c r="F287" s="14">
        <v>318</v>
      </c>
      <c r="G287" s="14">
        <v>0</v>
      </c>
      <c r="H287" s="14">
        <v>140</v>
      </c>
      <c r="I287" s="14">
        <v>0</v>
      </c>
      <c r="J287" s="14">
        <v>4</v>
      </c>
      <c r="O287" s="14">
        <v>58</v>
      </c>
      <c r="P287" s="14">
        <v>114</v>
      </c>
    </row>
    <row r="288" spans="1:16">
      <c r="A288" s="14">
        <v>287</v>
      </c>
      <c r="B288" s="14">
        <v>58</v>
      </c>
      <c r="C288" s="14">
        <v>0</v>
      </c>
      <c r="D288" s="14">
        <v>4</v>
      </c>
      <c r="E288" s="14">
        <v>170</v>
      </c>
      <c r="F288" s="14">
        <v>225</v>
      </c>
      <c r="G288" s="14">
        <v>1</v>
      </c>
      <c r="H288" s="14">
        <v>146</v>
      </c>
      <c r="I288" s="14">
        <v>1</v>
      </c>
      <c r="J288" s="14">
        <v>2</v>
      </c>
      <c r="O288" s="14">
        <v>58</v>
      </c>
      <c r="P288" s="14">
        <v>170</v>
      </c>
    </row>
    <row r="289" spans="1:16">
      <c r="A289" s="14">
        <v>288</v>
      </c>
      <c r="B289" s="14">
        <v>58</v>
      </c>
      <c r="C289" s="14">
        <v>1</v>
      </c>
      <c r="D289" s="14">
        <v>2</v>
      </c>
      <c r="E289" s="14">
        <v>125</v>
      </c>
      <c r="F289" s="14">
        <v>220</v>
      </c>
      <c r="G289" s="14">
        <v>0</v>
      </c>
      <c r="H289" s="14">
        <v>144</v>
      </c>
      <c r="I289" s="14">
        <v>0</v>
      </c>
      <c r="J289" s="14">
        <v>0</v>
      </c>
      <c r="O289" s="14">
        <v>58</v>
      </c>
      <c r="P289" s="14">
        <v>125</v>
      </c>
    </row>
    <row r="290" spans="1:16">
      <c r="A290" s="14">
        <v>289</v>
      </c>
      <c r="B290" s="14">
        <v>56</v>
      </c>
      <c r="C290" s="14">
        <v>1</v>
      </c>
      <c r="D290" s="14">
        <v>2</v>
      </c>
      <c r="E290" s="14">
        <v>130</v>
      </c>
      <c r="F290" s="14">
        <v>221</v>
      </c>
      <c r="G290" s="14">
        <v>0</v>
      </c>
      <c r="H290" s="14">
        <v>163</v>
      </c>
      <c r="I290" s="14">
        <v>0</v>
      </c>
      <c r="J290" s="14">
        <v>0</v>
      </c>
      <c r="O290" s="14">
        <v>56</v>
      </c>
      <c r="P290" s="14">
        <v>130</v>
      </c>
    </row>
    <row r="291" spans="1:16">
      <c r="A291" s="14">
        <v>290</v>
      </c>
      <c r="B291" s="14">
        <v>56</v>
      </c>
      <c r="C291" s="14">
        <v>1</v>
      </c>
      <c r="D291" s="14">
        <v>2</v>
      </c>
      <c r="E291" s="14">
        <v>120</v>
      </c>
      <c r="F291" s="14">
        <v>240</v>
      </c>
      <c r="G291" s="14">
        <v>0</v>
      </c>
      <c r="H291" s="14">
        <v>169</v>
      </c>
      <c r="I291" s="14">
        <v>0</v>
      </c>
      <c r="J291" s="14">
        <v>0</v>
      </c>
      <c r="O291" s="14">
        <v>56</v>
      </c>
      <c r="P291" s="14">
        <v>120</v>
      </c>
    </row>
    <row r="292" spans="1:16">
      <c r="A292" s="14">
        <v>291</v>
      </c>
      <c r="B292" s="14">
        <v>67</v>
      </c>
      <c r="C292" s="14">
        <v>1</v>
      </c>
      <c r="D292" s="14">
        <v>3</v>
      </c>
      <c r="E292" s="14">
        <v>152</v>
      </c>
      <c r="F292" s="14">
        <v>212</v>
      </c>
      <c r="G292" s="14">
        <v>0</v>
      </c>
      <c r="H292" s="14">
        <v>150</v>
      </c>
      <c r="I292" s="14">
        <v>0</v>
      </c>
      <c r="J292" s="14">
        <v>1</v>
      </c>
      <c r="O292" s="14">
        <v>67</v>
      </c>
      <c r="P292" s="14">
        <v>152</v>
      </c>
    </row>
    <row r="293" spans="1:16">
      <c r="A293" s="14">
        <v>292</v>
      </c>
      <c r="B293" s="14">
        <v>55</v>
      </c>
      <c r="C293" s="14">
        <v>0</v>
      </c>
      <c r="D293" s="14">
        <v>2</v>
      </c>
      <c r="E293" s="14">
        <v>132</v>
      </c>
      <c r="F293" s="14">
        <v>342</v>
      </c>
      <c r="G293" s="14">
        <v>0</v>
      </c>
      <c r="H293" s="14">
        <v>166</v>
      </c>
      <c r="I293" s="14">
        <v>0</v>
      </c>
      <c r="J293" s="14">
        <v>0</v>
      </c>
      <c r="O293" s="14">
        <v>55</v>
      </c>
      <c r="P293" s="14">
        <v>132</v>
      </c>
    </row>
    <row r="294" spans="1:16">
      <c r="A294" s="14">
        <v>293</v>
      </c>
      <c r="B294" s="14">
        <v>44</v>
      </c>
      <c r="C294" s="14">
        <v>1</v>
      </c>
      <c r="D294" s="14">
        <v>4</v>
      </c>
      <c r="E294" s="14">
        <v>120</v>
      </c>
      <c r="F294" s="14">
        <v>169</v>
      </c>
      <c r="G294" s="14">
        <v>0</v>
      </c>
      <c r="H294" s="14">
        <v>144</v>
      </c>
      <c r="I294" s="14">
        <v>1</v>
      </c>
      <c r="J294" s="14">
        <v>2</v>
      </c>
      <c r="O294" s="14">
        <v>44</v>
      </c>
      <c r="P294" s="14">
        <v>120</v>
      </c>
    </row>
    <row r="295" spans="1:16">
      <c r="A295" s="14">
        <v>294</v>
      </c>
      <c r="B295" s="14">
        <v>63</v>
      </c>
      <c r="C295" s="14">
        <v>1</v>
      </c>
      <c r="D295" s="14">
        <v>4</v>
      </c>
      <c r="E295" s="14">
        <v>140</v>
      </c>
      <c r="F295" s="14">
        <v>187</v>
      </c>
      <c r="G295" s="14">
        <v>0</v>
      </c>
      <c r="H295" s="14">
        <v>144</v>
      </c>
      <c r="I295" s="14">
        <v>1</v>
      </c>
      <c r="J295" s="14">
        <v>2</v>
      </c>
      <c r="O295" s="14">
        <v>63</v>
      </c>
      <c r="P295" s="14">
        <v>140</v>
      </c>
    </row>
    <row r="296" spans="1:16">
      <c r="A296" s="14">
        <v>295</v>
      </c>
      <c r="B296" s="14">
        <v>63</v>
      </c>
      <c r="C296" s="14">
        <v>0</v>
      </c>
      <c r="D296" s="14">
        <v>4</v>
      </c>
      <c r="E296" s="14">
        <v>124</v>
      </c>
      <c r="F296" s="14">
        <v>197</v>
      </c>
      <c r="G296" s="14">
        <v>0</v>
      </c>
      <c r="H296" s="14">
        <v>136</v>
      </c>
      <c r="I296" s="14">
        <v>1</v>
      </c>
      <c r="J296" s="14">
        <v>1</v>
      </c>
      <c r="O296" s="14">
        <v>63</v>
      </c>
      <c r="P296" s="14">
        <v>124</v>
      </c>
    </row>
    <row r="297" spans="1:16">
      <c r="A297" s="14">
        <v>296</v>
      </c>
      <c r="B297" s="14">
        <v>41</v>
      </c>
      <c r="C297" s="14">
        <v>1</v>
      </c>
      <c r="D297" s="14">
        <v>2</v>
      </c>
      <c r="E297" s="14">
        <v>120</v>
      </c>
      <c r="F297" s="14">
        <v>157</v>
      </c>
      <c r="G297" s="14">
        <v>0</v>
      </c>
      <c r="H297" s="14">
        <v>182</v>
      </c>
      <c r="I297" s="14">
        <v>0</v>
      </c>
      <c r="J297" s="14">
        <v>0</v>
      </c>
      <c r="O297" s="14">
        <v>41</v>
      </c>
      <c r="P297" s="14">
        <v>120</v>
      </c>
    </row>
    <row r="298" spans="1:16">
      <c r="A298" s="14">
        <v>297</v>
      </c>
      <c r="B298" s="14">
        <v>59</v>
      </c>
      <c r="C298" s="14">
        <v>1</v>
      </c>
      <c r="D298" s="14">
        <v>4</v>
      </c>
      <c r="E298" s="14">
        <v>164</v>
      </c>
      <c r="F298" s="14">
        <v>176</v>
      </c>
      <c r="G298" s="14">
        <v>1</v>
      </c>
      <c r="H298" s="14">
        <v>90</v>
      </c>
      <c r="I298" s="14">
        <v>0</v>
      </c>
      <c r="J298" s="14">
        <v>3</v>
      </c>
      <c r="O298" s="14">
        <v>59</v>
      </c>
      <c r="P298" s="14">
        <v>164</v>
      </c>
    </row>
    <row r="299" spans="1:16">
      <c r="A299" s="14">
        <v>298</v>
      </c>
      <c r="B299" s="14">
        <v>57</v>
      </c>
      <c r="C299" s="14">
        <v>0</v>
      </c>
      <c r="D299" s="14">
        <v>4</v>
      </c>
      <c r="E299" s="14">
        <v>140</v>
      </c>
      <c r="F299" s="14">
        <v>241</v>
      </c>
      <c r="G299" s="14">
        <v>0</v>
      </c>
      <c r="H299" s="14">
        <v>123</v>
      </c>
      <c r="I299" s="14">
        <v>1</v>
      </c>
      <c r="J299" s="14">
        <v>1</v>
      </c>
      <c r="O299" s="14">
        <v>57</v>
      </c>
      <c r="P299" s="14">
        <v>140</v>
      </c>
    </row>
    <row r="300" spans="1:16">
      <c r="A300" s="14">
        <v>299</v>
      </c>
      <c r="B300" s="14">
        <v>45</v>
      </c>
      <c r="C300" s="14">
        <v>1</v>
      </c>
      <c r="D300" s="14">
        <v>1</v>
      </c>
      <c r="E300" s="14">
        <v>110</v>
      </c>
      <c r="F300" s="14">
        <v>264</v>
      </c>
      <c r="G300" s="14">
        <v>0</v>
      </c>
      <c r="H300" s="14">
        <v>132</v>
      </c>
      <c r="I300" s="14">
        <v>0</v>
      </c>
      <c r="J300" s="14">
        <v>1</v>
      </c>
      <c r="O300" s="14">
        <v>45</v>
      </c>
      <c r="P300" s="14">
        <v>110</v>
      </c>
    </row>
    <row r="301" spans="1:16">
      <c r="A301" s="14">
        <v>300</v>
      </c>
      <c r="B301" s="14">
        <v>68</v>
      </c>
      <c r="C301" s="14">
        <v>1</v>
      </c>
      <c r="D301" s="14">
        <v>4</v>
      </c>
      <c r="E301" s="14">
        <v>144</v>
      </c>
      <c r="F301" s="14">
        <v>193</v>
      </c>
      <c r="G301" s="14">
        <v>1</v>
      </c>
      <c r="H301" s="14">
        <v>141</v>
      </c>
      <c r="I301" s="14">
        <v>0</v>
      </c>
      <c r="J301" s="14">
        <v>2</v>
      </c>
      <c r="O301" s="14">
        <v>68</v>
      </c>
      <c r="P301" s="14">
        <v>144</v>
      </c>
    </row>
    <row r="302" spans="1:16">
      <c r="A302" s="14">
        <v>301</v>
      </c>
      <c r="B302" s="14">
        <v>57</v>
      </c>
      <c r="C302" s="14">
        <v>1</v>
      </c>
      <c r="D302" s="14">
        <v>4</v>
      </c>
      <c r="E302" s="14">
        <v>130</v>
      </c>
      <c r="F302" s="14">
        <v>131</v>
      </c>
      <c r="G302" s="14">
        <v>0</v>
      </c>
      <c r="H302" s="14">
        <v>115</v>
      </c>
      <c r="I302" s="14">
        <v>1</v>
      </c>
      <c r="J302" s="14">
        <v>3</v>
      </c>
      <c r="O302" s="14">
        <v>57</v>
      </c>
      <c r="P302" s="14">
        <v>130</v>
      </c>
    </row>
    <row r="303" spans="1:16">
      <c r="A303" s="14">
        <v>302</v>
      </c>
      <c r="B303" s="14">
        <v>57</v>
      </c>
      <c r="C303" s="14">
        <v>0</v>
      </c>
      <c r="D303" s="14">
        <v>2</v>
      </c>
      <c r="E303" s="14">
        <v>130</v>
      </c>
      <c r="F303" s="14">
        <v>236</v>
      </c>
      <c r="G303" s="14">
        <v>0</v>
      </c>
      <c r="H303" s="14">
        <v>174</v>
      </c>
      <c r="I303" s="14">
        <v>0</v>
      </c>
      <c r="J303" s="14">
        <v>1</v>
      </c>
      <c r="O303" s="14">
        <v>57</v>
      </c>
      <c r="P303" s="14">
        <v>130</v>
      </c>
    </row>
    <row r="304" spans="1:16">
      <c r="A304" s="14">
        <v>303</v>
      </c>
      <c r="B304" s="14">
        <v>38</v>
      </c>
      <c r="C304" s="14">
        <v>1</v>
      </c>
      <c r="D304" s="14">
        <v>3</v>
      </c>
      <c r="E304" s="14">
        <v>138</v>
      </c>
      <c r="F304" s="14">
        <v>175</v>
      </c>
      <c r="G304" s="14">
        <v>0</v>
      </c>
      <c r="H304" s="14">
        <v>173</v>
      </c>
      <c r="I304" s="14">
        <v>0</v>
      </c>
      <c r="J304" s="14">
        <v>0</v>
      </c>
      <c r="O304" s="16">
        <v>38</v>
      </c>
      <c r="P304" s="16">
        <v>138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D4B6596FD95184B9BB54E9F2011A77C" ma:contentTypeVersion="2" ma:contentTypeDescription="Crie um novo documento." ma:contentTypeScope="" ma:versionID="efd57b400c01b8fee95bb688dba1086d">
  <xsd:schema xmlns:xsd="http://www.w3.org/2001/XMLSchema" xmlns:xs="http://www.w3.org/2001/XMLSchema" xmlns:p="http://schemas.microsoft.com/office/2006/metadata/properties" xmlns:ns2="23ea2712-60a0-423a-a5a5-a3dc30b725a3" targetNamespace="http://schemas.microsoft.com/office/2006/metadata/properties" ma:root="true" ma:fieldsID="9e4eb3e8c469bcb3a500928ed2eafada" ns2:_="">
    <xsd:import namespace="23ea2712-60a0-423a-a5a5-a3dc30b72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ea2712-60a0-423a-a5a5-a3dc30b72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376EF1-390D-4B58-B463-45EABE887914}"/>
</file>

<file path=customXml/itemProps2.xml><?xml version="1.0" encoding="utf-8"?>
<ds:datastoreItem xmlns:ds="http://schemas.openxmlformats.org/officeDocument/2006/customXml" ds:itemID="{5407A89B-5163-470E-B3D9-658A8003F42E}"/>
</file>

<file path=customXml/itemProps3.xml><?xml version="1.0" encoding="utf-8"?>
<ds:datastoreItem xmlns:ds="http://schemas.openxmlformats.org/officeDocument/2006/customXml" ds:itemID="{427F0003-5F09-410B-9945-D99CEB3F6B70}"/>
</file>

<file path=customXml/itemProps4.xml><?xml version="1.0" encoding="utf-8"?>
<ds:datastoreItem xmlns:ds="http://schemas.openxmlformats.org/officeDocument/2006/customXml" ds:itemID="{75C44AD1-534A-450F-80DD-AEA2AB24F0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JAQUELINE DA SILVA MOREIRA</cp:lastModifiedBy>
  <cp:revision/>
  <dcterms:created xsi:type="dcterms:W3CDTF">2006-09-25T12:47:36Z</dcterms:created>
  <dcterms:modified xsi:type="dcterms:W3CDTF">2023-03-14T21:27:08Z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0x0101008D4B6596FD95184B9BB54E9F2011A77C</vt:lpwstr>
  </property>
</Properties>
</file>